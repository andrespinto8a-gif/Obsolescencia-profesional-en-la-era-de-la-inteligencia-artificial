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arreras_Ecuador" sheetId="1" state="visible" r:id="rId3"/>
    <sheet name="2_Mercado_Laboral_EC" sheetId="2" state="visible" r:id="rId4"/>
    <sheet name="3_Adopcion_IA_Ecuador" sheetId="3" state="visible" r:id="rId5"/>
    <sheet name="4_Riesgo_Automatizacion" sheetId="4" state="visible" r:id="rId6"/>
    <sheet name="5_Proyecciones_Globales" sheetId="5" state="visible" r:id="rId7"/>
    <sheet name="6_Timeline_Dispersión" sheetId="6" state="visible" r:id="rId8"/>
    <sheet name="7_Top10_Graduados_EC" sheetId="7" state="visible" r:id="rId9"/>
    <sheet name="8_Carreras_Emergentes" sheetId="8" state="visible" r:id="rId10"/>
    <sheet name="9_Radar_Variables" sheetId="9" state="visible" r:id="rId11"/>
    <sheet name="10_Fuentes_Metodologí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<sst xmlns="http://schemas.openxmlformats.org/spreadsheetml/2006/main" count="1249" uniqueCount="634">
  <si>
    <t xml:space="preserve">Carrera</t>
  </si>
  <si>
    <t xml:space="preserve">Área</t>
  </si>
  <si>
    <t xml:space="preserve">Graduados 2024
(Senescyt)</t>
  </si>
  <si>
    <t xml:space="preserve">% del Total
Graduados</t>
  </si>
  <si>
    <t xml:space="preserve">Postulantes
(Demanda)</t>
  </si>
  <si>
    <t xml:space="preserve">Demanda
Laboral Actual</t>
  </si>
  <si>
    <t xml:space="preserve">Saturación
Mercado</t>
  </si>
  <si>
    <t xml:space="preserve">% Tareas
Automatizables</t>
  </si>
  <si>
    <t xml:space="preserve">Riesgo IA
(1-10)</t>
  </si>
  <si>
    <t xml:space="preserve">Año Est.
Obsolescencia
Parcial</t>
  </si>
  <si>
    <t xml:space="preserve">Año Est.
Obsolescencia
Total</t>
  </si>
  <si>
    <t xml:space="preserve">Tipo de
Actividad Dom.</t>
  </si>
  <si>
    <t xml:space="preserve">Estado</t>
  </si>
  <si>
    <t xml:space="preserve">Fuente</t>
  </si>
  <si>
    <t xml:space="preserve">Derecho / Abogacía</t>
  </si>
  <si>
    <t xml:space="preserve">Ciencias Sociales</t>
  </si>
  <si>
    <t xml:space="preserve">Alta</t>
  </si>
  <si>
    <t xml:space="preserve">Media-Baja</t>
  </si>
  <si>
    <t xml:space="preserve">MUY ALTA</t>
  </si>
  <si>
    <t xml:space="preserve">Procedimental-Repetitiva</t>
  </si>
  <si>
    <t xml:space="preserve">ALTO RIESGO</t>
  </si>
  <si>
    <t xml:space="preserve">Senescyt 2024 / Frey&amp;Osborne</t>
  </si>
  <si>
    <t xml:space="preserve">Administración de Empresas</t>
  </si>
  <si>
    <t xml:space="preserve">Económico-Admin</t>
  </si>
  <si>
    <t xml:space="preserve">Muy Alta</t>
  </si>
  <si>
    <t xml:space="preserve">Media</t>
  </si>
  <si>
    <t xml:space="preserve">ALTA</t>
  </si>
  <si>
    <t xml:space="preserve">Mixta</t>
  </si>
  <si>
    <t xml:space="preserve">Senescyt 2024 / McKinsey</t>
  </si>
  <si>
    <t xml:space="preserve">Contabilidad y Auditoría</t>
  </si>
  <si>
    <t xml:space="preserve">MUY ALTO RIESGO</t>
  </si>
  <si>
    <t xml:space="preserve">Senescyt 2024 / OCDE</t>
  </si>
  <si>
    <t xml:space="preserve">Medicina</t>
  </si>
  <si>
    <t xml:space="preserve">Salud</t>
  </si>
  <si>
    <t xml:space="preserve">MEDIA</t>
  </si>
  <si>
    <t xml:space="preserve">Cognitiva-Creativa</t>
  </si>
  <si>
    <t xml:space="preserve">BAJO RIESGO</t>
  </si>
  <si>
    <t xml:space="preserve">Senescyt 2024 / WEF</t>
  </si>
  <si>
    <t xml:space="preserve">Enfermería</t>
  </si>
  <si>
    <t xml:space="preserve">Educación Inicial</t>
  </si>
  <si>
    <t xml:space="preserve">Educación</t>
  </si>
  <si>
    <t xml:space="preserve">MUY BAJO RIESGO</t>
  </si>
  <si>
    <t xml:space="preserve">Educación Básica</t>
  </si>
  <si>
    <t xml:space="preserve">Senescyt 2024</t>
  </si>
  <si>
    <t xml:space="preserve">Psicología</t>
  </si>
  <si>
    <t xml:space="preserve">Salud/Social</t>
  </si>
  <si>
    <t xml:space="preserve">MEDIA-ALTA</t>
  </si>
  <si>
    <t xml:space="preserve">Comunicación Social</t>
  </si>
  <si>
    <t xml:space="preserve">Humanidades</t>
  </si>
  <si>
    <t xml:space="preserve">Baja</t>
  </si>
  <si>
    <t xml:space="preserve">Ingeniería Civil</t>
  </si>
  <si>
    <t xml:space="preserve">Ingeniería</t>
  </si>
  <si>
    <t xml:space="preserve">Analítica-Estratégica</t>
  </si>
  <si>
    <t xml:space="preserve">RIESGO MEDIO</t>
  </si>
  <si>
    <t xml:space="preserve">Ingeniería Industrial</t>
  </si>
  <si>
    <t xml:space="preserve">Arquitectura</t>
  </si>
  <si>
    <t xml:space="preserve">Arte/Técnica</t>
  </si>
  <si>
    <t xml:space="preserve">Baja-Media</t>
  </si>
  <si>
    <t xml:space="preserve">Marketing y Publicidad</t>
  </si>
  <si>
    <t xml:space="preserve">Diseño Gráfico</t>
  </si>
  <si>
    <t xml:space="preserve">Xataka/China 2026</t>
  </si>
  <si>
    <t xml:space="preserve">Ingeniería de Software</t>
  </si>
  <si>
    <t xml:space="preserve">Tecnología</t>
  </si>
  <si>
    <t xml:space="preserve">BAJA</t>
  </si>
  <si>
    <t xml:space="preserve">Economía</t>
  </si>
  <si>
    <t xml:space="preserve">Trabajo Social</t>
  </si>
  <si>
    <t xml:space="preserve">Social</t>
  </si>
  <si>
    <t xml:space="preserve">Relaciones Públicas</t>
  </si>
  <si>
    <t xml:space="preserve">Periodismo</t>
  </si>
  <si>
    <t xml:space="preserve">Ingeniería Eléctrica</t>
  </si>
  <si>
    <t xml:space="preserve">Ciencias de la Computación</t>
  </si>
  <si>
    <t xml:space="preserve">Senescyt/WEF</t>
  </si>
  <si>
    <t xml:space="preserve">Turismo y Hotelería</t>
  </si>
  <si>
    <t xml:space="preserve">Servicios</t>
  </si>
  <si>
    <t xml:space="preserve">Gastronomía</t>
  </si>
  <si>
    <t xml:space="preserve">Artes Visuales / Bellas Artes</t>
  </si>
  <si>
    <t xml:space="preserve">Arte</t>
  </si>
  <si>
    <t xml:space="preserve">Muy Baja</t>
  </si>
  <si>
    <t xml:space="preserve">Fotografía</t>
  </si>
  <si>
    <t xml:space="preserve">CRÍTICO</t>
  </si>
  <si>
    <t xml:space="preserve">Xataka/China 2026 - Eliminada en China</t>
  </si>
  <si>
    <t xml:space="preserve">Diseño de Moda</t>
  </si>
  <si>
    <t xml:space="preserve">Ciberseguridad</t>
  </si>
  <si>
    <t xml:space="preserve">MUY BAJA</t>
  </si>
  <si>
    <t xml:space="preserve">SIN RIESGO</t>
  </si>
  <si>
    <t xml:space="preserve">WEF 2025</t>
  </si>
  <si>
    <t xml:space="preserve">Ciencia de Datos / IA</t>
  </si>
  <si>
    <t xml:space="preserve">WEF 2025 / Senescyt</t>
  </si>
  <si>
    <t xml:space="preserve">Indicador</t>
  </si>
  <si>
    <t xml:space="preserve">Valor</t>
  </si>
  <si>
    <t xml:space="preserve">Unidad</t>
  </si>
  <si>
    <t xml:space="preserve">Año</t>
  </si>
  <si>
    <t xml:space="preserve">Segmento</t>
  </si>
  <si>
    <t xml:space="preserve">Notas</t>
  </si>
  <si>
    <t xml:space="preserve">Desempleo juvenil total (18-29)</t>
  </si>
  <si>
    <t xml:space="preserve">9.5</t>
  </si>
  <si>
    <t xml:space="preserve">%</t>
  </si>
  <si>
    <t xml:space="preserve">2024</t>
  </si>
  <si>
    <t xml:space="preserve">Jóvenes 18-29 años</t>
  </si>
  <si>
    <t xml:space="preserve">INEC 2024</t>
  </si>
  <si>
    <t xml:space="preserve">Desempleo juvenil mujeres</t>
  </si>
  <si>
    <t xml:space="preserve">12.8</t>
  </si>
  <si>
    <t xml:space="preserve">Mujeres jóvenes</t>
  </si>
  <si>
    <t xml:space="preserve">Desempleo juvenil hombres</t>
  </si>
  <si>
    <t xml:space="preserve">6.9</t>
  </si>
  <si>
    <t xml:space="preserve">Hombres jóvenes</t>
  </si>
  <si>
    <t xml:space="preserve">Jóvenes sin ningún ingreso</t>
  </si>
  <si>
    <t xml:space="preserve">51.1</t>
  </si>
  <si>
    <t xml:space="preserve">18-29 años</t>
  </si>
  <si>
    <t xml:space="preserve">Children Int'l / La Hora</t>
  </si>
  <si>
    <t xml:space="preserve">Jóvenes con empleo adecuado</t>
  </si>
  <si>
    <t xml:space="preserve">28.7</t>
  </si>
  <si>
    <t xml:space="preserve">Subempleo juvenil</t>
  </si>
  <si>
    <t xml:space="preserve">29.3</t>
  </si>
  <si>
    <t xml:space="preserve">Jóvenes que dependen económicamente de padres</t>
  </si>
  <si>
    <t xml:space="preserve">59.8</t>
  </si>
  <si>
    <t xml:space="preserve">Children Int'l</t>
  </si>
  <si>
    <t xml:space="preserve">Meses promedio para encontrar empleo post-graduación</t>
  </si>
  <si>
    <t xml:space="preserve">8</t>
  </si>
  <si>
    <t xml:space="preserve">meses</t>
  </si>
  <si>
    <t xml:space="preserve">Recién graduados</t>
  </si>
  <si>
    <t xml:space="preserve">Empleadores que notan falta de habilidades críticas en graduados</t>
  </si>
  <si>
    <t xml:space="preserve">67</t>
  </si>
  <si>
    <t xml:space="preserve">Empleadores Ecuador</t>
  </si>
  <si>
    <t xml:space="preserve">Jóvenes en sector informal</t>
  </si>
  <si>
    <t xml:space="preserve">47.5</t>
  </si>
  <si>
    <t xml:space="preserve">Desempleo juvenil como % del desempleo total</t>
  </si>
  <si>
    <t xml:space="preserve">67.2</t>
  </si>
  <si>
    <t xml:space="preserve">2019</t>
  </si>
  <si>
    <t xml:space="preserve">Nacional</t>
  </si>
  <si>
    <t xml:space="preserve">INEC 2019</t>
  </si>
  <si>
    <t xml:space="preserve">Dato previo para tendencia</t>
  </si>
  <si>
    <t xml:space="preserve">Jóvenes con titulación superior con empleo adecuado</t>
  </si>
  <si>
    <t xml:space="preserve">35</t>
  </si>
  <si>
    <t xml:space="preserve">Con título universitario</t>
  </si>
  <si>
    <t xml:space="preserve">INEC</t>
  </si>
  <si>
    <t xml:space="preserve">Dato tendencia</t>
  </si>
  <si>
    <t xml:space="preserve">Títulos de tercer nivel emitidos 2024</t>
  </si>
  <si>
    <t xml:space="preserve">90715</t>
  </si>
  <si>
    <t xml:space="preserve">títulos</t>
  </si>
  <si>
    <t xml:space="preserve">Carreras que concentran 27.4% de títulos</t>
  </si>
  <si>
    <t xml:space="preserve">10</t>
  </si>
  <si>
    <t xml:space="preserve">carreras</t>
  </si>
  <si>
    <t xml:space="preserve">Alta concentración en pocas carreras</t>
  </si>
  <si>
    <t xml:space="preserve">Títulos obtenidos por mujeres</t>
  </si>
  <si>
    <t xml:space="preserve">50951</t>
  </si>
  <si>
    <t xml:space="preserve">Mujeres</t>
  </si>
  <si>
    <t xml:space="preserve">56% del total</t>
  </si>
  <si>
    <t xml:space="preserve">Títulos obtenidos por hombres</t>
  </si>
  <si>
    <t xml:space="preserve">39764</t>
  </si>
  <si>
    <t xml:space="preserve">Hombres</t>
  </si>
  <si>
    <t xml:space="preserve">44% del total</t>
  </si>
  <si>
    <t xml:space="preserve">Títulos modalidad online 2024</t>
  </si>
  <si>
    <t xml:space="preserve">8.69</t>
  </si>
  <si>
    <t xml:space="preserve">% del total</t>
  </si>
  <si>
    <t xml:space="preserve">Era 0.78% en 2021</t>
  </si>
  <si>
    <t xml:space="preserve">Títulos modalidad online 2021</t>
  </si>
  <si>
    <t xml:space="preserve">0.78</t>
  </si>
  <si>
    <t xml:space="preserve">2021</t>
  </si>
  <si>
    <t xml:space="preserve">Punto de partida</t>
  </si>
  <si>
    <t xml:space="preserve">Universidades e institutos superiores activos</t>
  </si>
  <si>
    <t xml:space="preserve">245</t>
  </si>
  <si>
    <t xml:space="preserve">instituciones</t>
  </si>
  <si>
    <t xml:space="preserve">Carreras ofertadas total</t>
  </si>
  <si>
    <t xml:space="preserve">1000</t>
  </si>
  <si>
    <t xml:space="preserve">+carreras</t>
  </si>
  <si>
    <t xml:space="preserve">62% de postulaciones concentradas en N carreras</t>
  </si>
  <si>
    <t xml:space="preserve">Senescyt/Educacion Superior</t>
  </si>
  <si>
    <t xml:space="preserve">Carreras tradicionales</t>
  </si>
  <si>
    <t xml:space="preserve">Jóvenes que prefieren modalidad online/semipresencial</t>
  </si>
  <si>
    <t xml:space="preserve">Estudiantes universitarios</t>
  </si>
  <si>
    <t xml:space="preserve">Universidades Ecuador</t>
  </si>
  <si>
    <t xml:space="preserve">Desempleo total Ecuador</t>
  </si>
  <si>
    <t xml:space="preserve">4.7</t>
  </si>
  <si>
    <t xml:space="preserve">PEA Ecuador total</t>
  </si>
  <si>
    <t xml:space="preserve">8.2</t>
  </si>
  <si>
    <t xml:space="preserve">millones</t>
  </si>
  <si>
    <t xml:space="preserve">Indicador / Sector</t>
  </si>
  <si>
    <t xml:space="preserve">Alcance</t>
  </si>
  <si>
    <t xml:space="preserve">Interpretación para el Estudio</t>
  </si>
  <si>
    <t xml:space="preserve">Empresas ecuatorianas que usan IA (2025)</t>
  </si>
  <si>
    <t xml:space="preserve">40</t>
  </si>
  <si>
    <t xml:space="preserve">2025</t>
  </si>
  <si>
    <t xml:space="preserve">Innovacion.ec</t>
  </si>
  <si>
    <t xml:space="preserve">Adopción parcial, no a escala</t>
  </si>
  <si>
    <t xml:space="preserve">Puntaje madurez IA Ecuador (BCG)</t>
  </si>
  <si>
    <t xml:space="preserve">20</t>
  </si>
  <si>
    <t xml:space="preserve">/ 100</t>
  </si>
  <si>
    <t xml:space="preserve">BCG AI Maturity</t>
  </si>
  <si>
    <t xml:space="preserve">Muy bajo vs. líderes regionales</t>
  </si>
  <si>
    <t xml:space="preserve">Ranking IA Ecuador en Latinoamérica</t>
  </si>
  <si>
    <t xml:space="preserve">11</t>
  </si>
  <si>
    <t xml:space="preserve">de 19</t>
  </si>
  <si>
    <t xml:space="preserve">LATAM</t>
  </si>
  <si>
    <t xml:space="preserve">BCG</t>
  </si>
  <si>
    <t xml:space="preserve">Rezago significativo</t>
  </si>
  <si>
    <t xml:space="preserve">Brecha digital Ecuador</t>
  </si>
  <si>
    <t xml:space="preserve">26</t>
  </si>
  <si>
    <t xml:space="preserve">% de la población</t>
  </si>
  <si>
    <t xml:space="preserve">Rural + periférico</t>
  </si>
  <si>
    <t xml:space="preserve">SergioMazure.com</t>
  </si>
  <si>
    <t xml:space="preserve">Limitante principal para adopción masiva</t>
  </si>
  <si>
    <t xml:space="preserve">Conectividad digital cobertura</t>
  </si>
  <si>
    <t xml:space="preserve">83.7</t>
  </si>
  <si>
    <t xml:space="preserve">MINTEL</t>
  </si>
  <si>
    <t xml:space="preserve">Base técnica disponible pero subutilizada</t>
  </si>
  <si>
    <t xml:space="preserve">Ahorro en horas de trabajo con IA (empresas que ya la usan)</t>
  </si>
  <si>
    <t xml:space="preserve">30-40</t>
  </si>
  <si>
    <t xml:space="preserve">2026</t>
  </si>
  <si>
    <t xml:space="preserve">Empresas usando IA</t>
  </si>
  <si>
    <t xml:space="preserve">PwC / Innovacion.ec</t>
  </si>
  <si>
    <t xml:space="preserve">Efecto concreto ya visible en Q1 2026</t>
  </si>
  <si>
    <t xml:space="preserve">Sector con mayor adopción IA en PYMEs Ecuador</t>
  </si>
  <si>
    <t xml:space="preserve">Marketing y Ventas</t>
  </si>
  <si>
    <t xml:space="preserve">—</t>
  </si>
  <si>
    <t xml:space="preserve">PYMEs</t>
  </si>
  <si>
    <t xml:space="preserve">Estudio PYMES EC</t>
  </si>
  <si>
    <t xml:space="preserve">Sectores admin/finanzas casi sin adopción</t>
  </si>
  <si>
    <t xml:space="preserve">Sectores con casi nula adopción IA</t>
  </si>
  <si>
    <t xml:space="preserve">Finanzas, Logística, RRHH, Admin</t>
  </si>
  <si>
    <t xml:space="preserve">Oportunidad Y riesgo de rezago</t>
  </si>
  <si>
    <t xml:space="preserve">Año implementación Estrategia Nacional IA Ecuador</t>
  </si>
  <si>
    <t xml:space="preserve">2025-2029</t>
  </si>
  <si>
    <t xml:space="preserve">años</t>
  </si>
  <si>
    <t xml:space="preserve">PNUD/MINTEL</t>
  </si>
  <si>
    <t xml:space="preserve">Plan en 3 ejes: capacidades, adopción, gobernanza</t>
  </si>
  <si>
    <t xml:space="preserve">Rezago estimado vs. países líderes de la región</t>
  </si>
  <si>
    <t xml:space="preserve">3-5</t>
  </si>
  <si>
    <t xml:space="preserve">Estimación analítica</t>
  </si>
  <si>
    <t xml:space="preserve">Adopción masiva PYMEs: 2027-2030</t>
  </si>
  <si>
    <t xml:space="preserve">Crecimiento anual proyectado carreras IA/datos Ecuador</t>
  </si>
  <si>
    <t xml:space="preserve">25</t>
  </si>
  <si>
    <t xml:space="preserve">%/año</t>
  </si>
  <si>
    <t xml:space="preserve">2025-2030</t>
  </si>
  <si>
    <t xml:space="preserve">Educación superior</t>
  </si>
  <si>
    <t xml:space="preserve">Señal de demanda creciente</t>
  </si>
  <si>
    <t xml:space="preserve">Nuevos empleos calificados en tecnología 2025-2030</t>
  </si>
  <si>
    <t xml:space="preserve">45</t>
  </si>
  <si>
    <t xml:space="preserve">% de nuevos empleos calificados</t>
  </si>
  <si>
    <t xml:space="preserve">Universidades EC / SENESCYT</t>
  </si>
  <si>
    <t xml:space="preserve">Oportunidad para reorientación curricular</t>
  </si>
  <si>
    <t xml:space="preserve">Salario promedio tech vs. sectores tradicionales</t>
  </si>
  <si>
    <t xml:space="preserve">+60</t>
  </si>
  <si>
    <t xml:space="preserve">% superior</t>
  </si>
  <si>
    <t xml:space="preserve">Universidades EC</t>
  </si>
  <si>
    <t xml:space="preserve">Diferencial salarial como incentivo de mercado</t>
  </si>
  <si>
    <t xml:space="preserve">Adopción IA en educación superior Ecuador</t>
  </si>
  <si>
    <t xml:space="preserve">% modalidad digital</t>
  </si>
  <si>
    <t xml:space="preserve">Universidades</t>
  </si>
  <si>
    <t xml:space="preserve">Plataformas, no IA curricular</t>
  </si>
  <si>
    <t xml:space="preserve">Alineación Plan Nacional IA con objetivos WEF 2025</t>
  </si>
  <si>
    <t xml:space="preserve">Sí — parcial</t>
  </si>
  <si>
    <t xml:space="preserve">Gobierno</t>
  </si>
  <si>
    <t xml:space="preserve">WEF / PNUD</t>
  </si>
  <si>
    <t xml:space="preserve">Estrategia existe pero ejecución lenta</t>
  </si>
  <si>
    <t xml:space="preserve">Tipo de Tarea / Actividad</t>
  </si>
  <si>
    <t xml:space="preserve">Categoría</t>
  </si>
  <si>
    <t xml:space="preserve">% Automatizable
(Oxford/Frey)</t>
  </si>
  <si>
    <t xml:space="preserve">% Automatizable
(McKinsey Gen-AI)</t>
  </si>
  <si>
    <t xml:space="preserve">Presente en
Mallas Ecuador</t>
  </si>
  <si>
    <t xml:space="preserve">Ejemplos en Carreras EC</t>
  </si>
  <si>
    <t xml:space="preserve">Fuente Global</t>
  </si>
  <si>
    <t xml:space="preserve">Horizon Reemplazo</t>
  </si>
  <si>
    <t xml:space="preserve">Entrada y procesamiento de datos</t>
  </si>
  <si>
    <t xml:space="preserve">REPETITIVA</t>
  </si>
  <si>
    <t xml:space="preserve">SÍ — muy alta</t>
  </si>
  <si>
    <t xml:space="preserve">Contabilidad, Admin, Derecho</t>
  </si>
  <si>
    <t xml:space="preserve">Frey&amp;Osborne 2013 / McKinsey 2024</t>
  </si>
  <si>
    <t xml:space="preserve">2025-2028</t>
  </si>
  <si>
    <t xml:space="preserve">Archivo, clasificación de documentos</t>
  </si>
  <si>
    <t xml:space="preserve">SÍ — alta</t>
  </si>
  <si>
    <t xml:space="preserve">Derecho, Contabilidad, Secretariado</t>
  </si>
  <si>
    <t xml:space="preserve">McKinsey</t>
  </si>
  <si>
    <t xml:space="preserve">2025-2027</t>
  </si>
  <si>
    <t xml:space="preserve">Atención al cliente básica (call center)</t>
  </si>
  <si>
    <t xml:space="preserve">SÍ — media</t>
  </si>
  <si>
    <t xml:space="preserve">Marketing, Comunicación, Admin</t>
  </si>
  <si>
    <t xml:space="preserve">Redacción de contratos estándar</t>
  </si>
  <si>
    <t xml:space="preserve">Derecho</t>
  </si>
  <si>
    <t xml:space="preserve">Stanford 2025 (Harvey/CoCounsel 90%)</t>
  </si>
  <si>
    <t xml:space="preserve">2026-2028</t>
  </si>
  <si>
    <t xml:space="preserve">Contabilidad básica / facturación</t>
  </si>
  <si>
    <t xml:space="preserve">McKinsey / OCDE</t>
  </si>
  <si>
    <t xml:space="preserve">Modelado financiero repetitivo</t>
  </si>
  <si>
    <t xml:space="preserve">Economía, Finanzas, Admin</t>
  </si>
  <si>
    <t xml:space="preserve">McKinsey 2024</t>
  </si>
  <si>
    <t xml:space="preserve">2027-2030</t>
  </si>
  <si>
    <t xml:space="preserve">Diseño gráfico básico (templates)</t>
  </si>
  <si>
    <t xml:space="preserve">Diseño Gráfico, Comunicación</t>
  </si>
  <si>
    <t xml:space="preserve">China/Xataka 2026</t>
  </si>
  <si>
    <t xml:space="preserve">Traducción de textos estándar</t>
  </si>
  <si>
    <t xml:space="preserve">Idiomas, Comunicación</t>
  </si>
  <si>
    <t xml:space="preserve">DeepL/GPT evidence</t>
  </si>
  <si>
    <t xml:space="preserve">2024-2026</t>
  </si>
  <si>
    <t xml:space="preserve">Fotografía de productos / stock</t>
  </si>
  <si>
    <t xml:space="preserve">Fotografía, Comunicación</t>
  </si>
  <si>
    <t xml:space="preserve">China/Xataka 2026 - eliminada</t>
  </si>
  <si>
    <t xml:space="preserve">Programación básica / boilerplate</t>
  </si>
  <si>
    <t xml:space="preserve">Ingeniería Software</t>
  </si>
  <si>
    <t xml:space="preserve">Diagnóstico médico por imagen (apoyo)</t>
  </si>
  <si>
    <t xml:space="preserve">ANALÍTICA</t>
  </si>
  <si>
    <t xml:space="preserve">Medicina, Imagenología</t>
  </si>
  <si>
    <t xml:space="preserve">WEF / McKinsey</t>
  </si>
  <si>
    <t xml:space="preserve">2030-2040 (apoyo, no reemplazo)</t>
  </si>
  <si>
    <t xml:space="preserve">Análisis de datos descriptivo</t>
  </si>
  <si>
    <t xml:space="preserve">Estadística, Economía, Admin</t>
  </si>
  <si>
    <t xml:space="preserve">McKinsey Gen-AI</t>
  </si>
  <si>
    <t xml:space="preserve">2027-2032</t>
  </si>
  <si>
    <t xml:space="preserve">Investigación legal (búsqueda jurisprudencia)</t>
  </si>
  <si>
    <t xml:space="preserve">Harvey/CoCounsel Stanford</t>
  </si>
  <si>
    <t xml:space="preserve">2026-2029</t>
  </si>
  <si>
    <t xml:space="preserve">Auditoría financiera de bajo riesgo</t>
  </si>
  <si>
    <t xml:space="preserve">Contabilidad</t>
  </si>
  <si>
    <t xml:space="preserve">2027-2031</t>
  </si>
  <si>
    <t xml:space="preserve">Análisis de riesgos con datos estructurados</t>
  </si>
  <si>
    <t xml:space="preserve">Finanzas, Actuaría</t>
  </si>
  <si>
    <t xml:space="preserve">2028-2033</t>
  </si>
  <si>
    <t xml:space="preserve">Planificación estratégica</t>
  </si>
  <si>
    <t xml:space="preserve">COGNITIVA</t>
  </si>
  <si>
    <t xml:space="preserve">SÍ — baja</t>
  </si>
  <si>
    <t xml:space="preserve">MBA, Admin Estratégica</t>
  </si>
  <si>
    <t xml:space="preserve">2035-2050+</t>
  </si>
  <si>
    <t xml:space="preserve">Docencia y tutoría personalizada</t>
  </si>
  <si>
    <t xml:space="preserve">OCDE 2024 (10% tareas auto.)</t>
  </si>
  <si>
    <t xml:space="preserve">2040-2060</t>
  </si>
  <si>
    <t xml:space="preserve">Cuidado y atención a personas</t>
  </si>
  <si>
    <t xml:space="preserve">Enfermería, Trabajo Social</t>
  </si>
  <si>
    <t xml:space="preserve">2045-2070</t>
  </si>
  <si>
    <t xml:space="preserve">Psicoterapia y consejería</t>
  </si>
  <si>
    <t xml:space="preserve">Liderazgo y gestión de equipos</t>
  </si>
  <si>
    <t xml:space="preserve">No directamente</t>
  </si>
  <si>
    <t xml:space="preserve">Admin avanzada</t>
  </si>
  <si>
    <t xml:space="preserve">McKinsey / Dimon JPMorgan</t>
  </si>
  <si>
    <t xml:space="preserve">2045-2060</t>
  </si>
  <si>
    <t xml:space="preserve">Ingeniería estructural compleja</t>
  </si>
  <si>
    <t xml:space="preserve">Ing. Civil</t>
  </si>
  <si>
    <t xml:space="preserve">2035-2050</t>
  </si>
  <si>
    <t xml:space="preserve">Investigación científica y experimental</t>
  </si>
  <si>
    <t xml:space="preserve">Medicina, Ingeniería</t>
  </si>
  <si>
    <t xml:space="preserve">OCDE</t>
  </si>
  <si>
    <t xml:space="preserve">Diseño de sistemas IA / ML</t>
  </si>
  <si>
    <t xml:space="preserve">COGNITIVA-CREATIVA</t>
  </si>
  <si>
    <t xml:space="preserve">No — carrera nueva</t>
  </si>
  <si>
    <t xml:space="preserve">Ciencia de Datos, IA</t>
  </si>
  <si>
    <t xml:space="preserve">Sin riesgo en horizonte</t>
  </si>
  <si>
    <t xml:space="preserve">Ciberseguridad ofensiva/defensiva</t>
  </si>
  <si>
    <t xml:space="preserve">Trabajo de construcción presencial</t>
  </si>
  <si>
    <t xml:space="preserve">MANUAL-FÍSICA</t>
  </si>
  <si>
    <t xml:space="preserve">Ing. Civil (campo)</t>
  </si>
  <si>
    <t xml:space="preserve">McKinsey 2030</t>
  </si>
  <si>
    <t xml:space="preserve">2035-2050 (robótica)</t>
  </si>
  <si>
    <t xml:space="preserve">Oficios técnicos especializados</t>
  </si>
  <si>
    <t xml:space="preserve">Institutos técnicos</t>
  </si>
  <si>
    <t xml:space="preserve">Mecánica, Electricidad</t>
  </si>
  <si>
    <t xml:space="preserve">McKinsey / WEF</t>
  </si>
  <si>
    <t xml:space="preserve">2038-2055</t>
  </si>
  <si>
    <t xml:space="preserve">Año Referencia</t>
  </si>
  <si>
    <t xml:space="preserve">Horizonte</t>
  </si>
  <si>
    <t xml:space="preserve">Organización</t>
  </si>
  <si>
    <t xml:space="preserve">Aplicabilidad Ecuador</t>
  </si>
  <si>
    <t xml:space="preserve">Empleos con alto riesgo automatización (Oxford)</t>
  </si>
  <si>
    <t xml:space="preserve">47</t>
  </si>
  <si>
    <t xml:space="preserve">2013</t>
  </si>
  <si>
    <t xml:space="preserve">2030</t>
  </si>
  <si>
    <t xml:space="preserve">Frey &amp; Osborne - Oxford</t>
  </si>
  <si>
    <t xml:space="preserve">Aplica con rezago 5-7 años en Ecuador</t>
  </si>
  <si>
    <t xml:space="preserve">Empleos con alto riesgo (OCDE ajustado)</t>
  </si>
  <si>
    <t xml:space="preserve">9</t>
  </si>
  <si>
    <t xml:space="preserve">Metodología más conservadora</t>
  </si>
  <si>
    <t xml:space="preserve">Empleos que requerirán adaptación significativa</t>
  </si>
  <si>
    <t xml:space="preserve">60</t>
  </si>
  <si>
    <t xml:space="preserve">2050</t>
  </si>
  <si>
    <t xml:space="preserve">PwC / McKinsey / WEF</t>
  </si>
  <si>
    <t xml:space="preserve">Ecuador: 2030-2040 por rezago</t>
  </si>
  <si>
    <t xml:space="preserve">Empleos automatizables antes IA generativa (McKinsey)</t>
  </si>
  <si>
    <t xml:space="preserve">21</t>
  </si>
  <si>
    <t xml:space="preserve">2022</t>
  </si>
  <si>
    <t xml:space="preserve">Empleos automatizables con IA generativa (McKinsey)</t>
  </si>
  <si>
    <t xml:space="preserve">29</t>
  </si>
  <si>
    <t xml:space="preserve">2023</t>
  </si>
  <si>
    <t xml:space="preserve">Salto por IA generativa</t>
  </si>
  <si>
    <t xml:space="preserve">Empleos a automatizar para 2030 (McKinsey EEUU)</t>
  </si>
  <si>
    <t xml:space="preserve">30</t>
  </si>
  <si>
    <t xml:space="preserve">Referencia EEUU; Ecuador: ~2033-2035</t>
  </si>
  <si>
    <t xml:space="preserve">Empleos modificados por herramientas IA para 2030</t>
  </si>
  <si>
    <t xml:space="preserve">La mayoría se transforma, no desaparece</t>
  </si>
  <si>
    <t xml:space="preserve">Personas a desplazar entre 2023-2030</t>
  </si>
  <si>
    <t xml:space="preserve">800</t>
  </si>
  <si>
    <t xml:space="preserve">2017</t>
  </si>
  <si>
    <t xml:space="preserve">McKinsey Global Institute</t>
  </si>
  <si>
    <t xml:space="preserve">Escenario máximo global</t>
  </si>
  <si>
    <t xml:space="preserve">Tareas admin automatizables (IPPR 2024)</t>
  </si>
  <si>
    <t xml:space="preserve">Institute for Public Policy Research</t>
  </si>
  <si>
    <t xml:space="preserve">Directamente aplicable a Admin y Contabilidad EC</t>
  </si>
  <si>
    <t xml:space="preserve">Roles analíticos afectados en banca (JPMorgan)</t>
  </si>
  <si>
    <t xml:space="preserve">Jamie Dimon / JPMorgan</t>
  </si>
  <si>
    <t xml:space="preserve">Referencia sector financiero</t>
  </si>
  <si>
    <t xml:space="preserve">Precisión IA en redacción legal (Stanford 2025)</t>
  </si>
  <si>
    <t xml:space="preserve">90</t>
  </si>
  <si>
    <t xml:space="preserve">Stanford University</t>
  </si>
  <si>
    <t xml:space="preserve">Harvey/CoCounsel - ya operativo</t>
  </si>
  <si>
    <t xml:space="preserve">Empleos a crear globalmente para 2030 (WEF 2025)</t>
  </si>
  <si>
    <t xml:space="preserve">170</t>
  </si>
  <si>
    <t xml:space="preserve">WEF Future of Jobs 2025</t>
  </si>
  <si>
    <t xml:space="preserve">Empleos nuevos en tech, cuidados, transición verde</t>
  </si>
  <si>
    <t xml:space="preserve">Empleos a eliminar globalmente para 2030 (WEF 2025)</t>
  </si>
  <si>
    <t xml:space="preserve">92</t>
  </si>
  <si>
    <t xml:space="preserve">Balance neto: +78 millones</t>
  </si>
  <si>
    <t xml:space="preserve">Empleadores que planean reducir por automatización</t>
  </si>
  <si>
    <t xml:space="preserve">41</t>
  </si>
  <si>
    <t xml:space="preserve">Base para estimación Ecuador</t>
  </si>
  <si>
    <t xml:space="preserve">Empleadores que harán upskilling de trabajadores</t>
  </si>
  <si>
    <t xml:space="preserve">77</t>
  </si>
  <si>
    <t xml:space="preserve">Oportunidad para reformar mallas curriculares</t>
  </si>
  <si>
    <t xml:space="preserve">Empleos automatizados completamente para 2045 (Goldman)</t>
  </si>
  <si>
    <t xml:space="preserve">50</t>
  </si>
  <si>
    <t xml:space="preserve">2045</t>
  </si>
  <si>
    <t xml:space="preserve">Goldman Sachs</t>
  </si>
  <si>
    <t xml:space="preserve">Escenario largo plazo</t>
  </si>
  <si>
    <t xml:space="preserve">Empleos desplazados globalmente (Goldman)</t>
  </si>
  <si>
    <t xml:space="preserve">300</t>
  </si>
  <si>
    <t xml:space="preserve">25% del mercado laboral mundial</t>
  </si>
  <si>
    <t xml:space="preserve">Tareas de enseñanza a automatizar para 2040 (OCDE)</t>
  </si>
  <si>
    <t xml:space="preserve">2040</t>
  </si>
  <si>
    <t xml:space="preserve">OCDE 2024</t>
  </si>
  <si>
    <t xml:space="preserve">Educación: sector más resistente</t>
  </si>
  <si>
    <t xml:space="preserve">Transiciones laborales necesarias para 2030 (McKinsey)</t>
  </si>
  <si>
    <t xml:space="preserve">12</t>
  </si>
  <si>
    <t xml:space="preserve">McKinsey (EEUU)</t>
  </si>
  <si>
    <t xml:space="preserve">80% en: servicio al cliente, alimentos, producción, oficina</t>
  </si>
  <si>
    <t xml:space="preserve">Trabajadores de bajos ingresos más afectados vs. altos</t>
  </si>
  <si>
    <t xml:space="preserve">14</t>
  </si>
  <si>
    <t xml:space="preserve">veces más</t>
  </si>
  <si>
    <t xml:space="preserve">Inequidad: impacto mayor en sectores bajos</t>
  </si>
  <si>
    <t xml:space="preserve">Empleos LATAM automatizables (CEPAL/BID)</t>
  </si>
  <si>
    <t xml:space="preserve">2033</t>
  </si>
  <si>
    <t xml:space="preserve">CEPAL / BID</t>
  </si>
  <si>
    <t xml:space="preserve">Proyección específica para la región</t>
  </si>
  <si>
    <t xml:space="preserve">Superioridad IA en tareas evaluadas vs. humano</t>
  </si>
  <si>
    <t xml:space="preserve">81</t>
  </si>
  <si>
    <t xml:space="preserve">Varios estudios 2025</t>
  </si>
  <si>
    <t xml:space="preserve">IA ya supera humanos en tareas rutinarias</t>
  </si>
  <si>
    <t xml:space="preserve">Velocidad relativa IA vs. humano en tareas rutinarias</t>
  </si>
  <si>
    <t xml:space="preserve">100</t>
  </si>
  <si>
    <t xml:space="preserve">x más rápida</t>
  </si>
  <si>
    <t xml:space="preserve">PwC / varios</t>
  </si>
  <si>
    <t xml:space="preserve">Costo y velocidad como drivers de adopción</t>
  </si>
  <si>
    <t xml:space="preserve">Automatización total para 2050 (Bessent/Scott)</t>
  </si>
  <si>
    <t xml:space="preserve">80</t>
  </si>
  <si>
    <t xml:space="preserve">Scott Bessent - Sec. Tesoro EEUU</t>
  </si>
  <si>
    <t xml:space="preserve">Escenario extremo largo plazo</t>
  </si>
  <si>
    <t xml:space="preserve">Graduados
2024</t>
  </si>
  <si>
    <t xml:space="preserve">% Tareas
Auto.</t>
  </si>
  <si>
    <t xml:space="preserve">Año Obs.
Parcial</t>
  </si>
  <si>
    <t xml:space="preserve">Año Obs.
Total</t>
  </si>
  <si>
    <t xml:space="preserve">Años hasta
Obs. Parcial</t>
  </si>
  <si>
    <t xml:space="preserve">Años hasta
Obs. Total</t>
  </si>
  <si>
    <t xml:space="preserve">Demanda
Laboral
(1-5)</t>
  </si>
  <si>
    <t xml:space="preserve">Saturación
Mercado
(1-5)</t>
  </si>
  <si>
    <t xml:space="preserve">Alineación
Mercado Futuro
(1-5)</t>
  </si>
  <si>
    <t xml:space="preserve">Categoría Riesgo</t>
  </si>
  <si>
    <t xml:space="preserve">Artes Visuales</t>
  </si>
  <si>
    <t xml:space="preserve">MUY ALTO</t>
  </si>
  <si>
    <t xml:space="preserve">ALTO</t>
  </si>
  <si>
    <t xml:space="preserve">MEDIO</t>
  </si>
  <si>
    <t xml:space="preserve">MEDIO-BAJO</t>
  </si>
  <si>
    <t xml:space="preserve">BAJO</t>
  </si>
  <si>
    <t xml:space="preserve">MUY BAJO</t>
  </si>
  <si>
    <t xml:space="preserve">Ranking</t>
  </si>
  <si>
    <t xml:space="preserve">Graduados 2024</t>
  </si>
  <si>
    <t xml:space="preserve">% del Total (90,715)</t>
  </si>
  <si>
    <t xml:space="preserve">Tendencia Mercado</t>
  </si>
  <si>
    <t xml:space="preserve">Riesgo IA</t>
  </si>
  <si>
    <t xml:space="preserve">Decreciente</t>
  </si>
  <si>
    <t xml:space="preserve">Senescyt 2024 / Primicias</t>
  </si>
  <si>
    <t xml:space="preserve">Estable-Decreciente</t>
  </si>
  <si>
    <t xml:space="preserve">Estable-Creciente</t>
  </si>
  <si>
    <t xml:space="preserve">Senescyt 2024 (estimado)</t>
  </si>
  <si>
    <t xml:space="preserve">Creciente</t>
  </si>
  <si>
    <t xml:space="preserve">Estable</t>
  </si>
  <si>
    <t xml:space="preserve">SUBTOTAL TOP 10</t>
  </si>
  <si>
    <t xml:space="preserve">TOTAL TITULADOS 2024</t>
  </si>
  <si>
    <t xml:space="preserve">Carrera / Perfil</t>
  </si>
  <si>
    <t xml:space="preserve">Demanda Actual
Ecuador</t>
  </si>
  <si>
    <t xml:space="preserve">Proyección 2030</t>
  </si>
  <si>
    <t xml:space="preserve">Salario relativo
vs. promedio</t>
  </si>
  <si>
    <t xml:space="preserve">Oferta Formativa
Ecuador 2026</t>
  </si>
  <si>
    <t xml:space="preserve">Ingeniero/a de Software</t>
  </si>
  <si>
    <t xml:space="preserve">Crítica</t>
  </si>
  <si>
    <t xml:space="preserve">+80%</t>
  </si>
  <si>
    <t xml:space="preserve">Media (creciendo)</t>
  </si>
  <si>
    <t xml:space="preserve">WEF 2025 / Universidades EC</t>
  </si>
  <si>
    <t xml:space="preserve">Ciencia de Datos / Data Science</t>
  </si>
  <si>
    <t xml:space="preserve">+90%</t>
  </si>
  <si>
    <t xml:space="preserve">Baja (pocos programas)</t>
  </si>
  <si>
    <t xml:space="preserve">WEF 2025 / SENESCYT</t>
  </si>
  <si>
    <t xml:space="preserve">+100%</t>
  </si>
  <si>
    <t xml:space="preserve">WEF 2025 / MINTEL</t>
  </si>
  <si>
    <t xml:space="preserve">Inteligencia Artificial / ML</t>
  </si>
  <si>
    <t xml:space="preserve">Media-Alta</t>
  </si>
  <si>
    <t xml:space="preserve">+120%</t>
  </si>
  <si>
    <t xml:space="preserve">Muy Baja (emergente)</t>
  </si>
  <si>
    <t xml:space="preserve">Arquitecto/a Cloud / DevOps</t>
  </si>
  <si>
    <t xml:space="preserve">+95%</t>
  </si>
  <si>
    <t xml:space="preserve">Especialista en Energías Renovables</t>
  </si>
  <si>
    <t xml:space="preserve">Ingeniería/Ambiental</t>
  </si>
  <si>
    <t xml:space="preserve">+60%</t>
  </si>
  <si>
    <t xml:space="preserve">WEF 2025 / Ecuador verde</t>
  </si>
  <si>
    <t xml:space="preserve">Gestión de Proyectos (PMP/ágil)</t>
  </si>
  <si>
    <t xml:space="preserve">Gestión</t>
  </si>
  <si>
    <t xml:space="preserve">+50%</t>
  </si>
  <si>
    <t xml:space="preserve">PMI / WEF</t>
  </si>
  <si>
    <t xml:space="preserve">UX/UI Design (experiencia usuario)</t>
  </si>
  <si>
    <t xml:space="preserve">Diseño-Tech</t>
  </si>
  <si>
    <t xml:space="preserve">+70%</t>
  </si>
  <si>
    <t xml:space="preserve">Marketing Digital / Performance</t>
  </si>
  <si>
    <t xml:space="preserve">Marketing</t>
  </si>
  <si>
    <t xml:space="preserve">+40%</t>
  </si>
  <si>
    <t xml:space="preserve">Mercado EC</t>
  </si>
  <si>
    <t xml:space="preserve">Especialista en Salud Mental</t>
  </si>
  <si>
    <t xml:space="preserve">+35%</t>
  </si>
  <si>
    <t xml:space="preserve">WEF 2025 / Ecuador</t>
  </si>
  <si>
    <t xml:space="preserve">Bioingeniería / Biotecnología</t>
  </si>
  <si>
    <t xml:space="preserve">Salud-Tech</t>
  </si>
  <si>
    <t xml:space="preserve">Logística y Supply Chain con IA</t>
  </si>
  <si>
    <t xml:space="preserve">Gestión-Tech</t>
  </si>
  <si>
    <t xml:space="preserve">+55%</t>
  </si>
  <si>
    <t xml:space="preserve">Docente + Tecnología Educativa</t>
  </si>
  <si>
    <t xml:space="preserve">+20%</t>
  </si>
  <si>
    <t xml:space="preserve">Derecho Digital / Privacidad datos</t>
  </si>
  <si>
    <t xml:space="preserve">Derecho-Tech</t>
  </si>
  <si>
    <t xml:space="preserve">+65%</t>
  </si>
  <si>
    <t xml:space="preserve">Stanford / WEF</t>
  </si>
  <si>
    <t xml:space="preserve">Médico con IA diagnóstica</t>
  </si>
  <si>
    <t xml:space="preserve">Riesgo IA
(1=bajo, 10=alto)</t>
  </si>
  <si>
    <t xml:space="preserve">Graduados
(escala 1-10)</t>
  </si>
  <si>
    <t xml:space="preserve">Saturación
Mercado
(1=baja, 5=muy alta)</t>
  </si>
  <si>
    <t xml:space="preserve">Demanda
Futura
(1=baja, 5=alta)</t>
  </si>
  <si>
    <t xml:space="preserve">Tareas
Repetitivas
(% /10)</t>
  </si>
  <si>
    <t xml:space="preserve">Adaptabilidad
Digital
(1=baja, 5=alta)</t>
  </si>
  <si>
    <t xml:space="preserve">Empleabilidad
Actual
(1-5)</t>
  </si>
  <si>
    <t xml:space="preserve">Educación Básica / Inicial</t>
  </si>
  <si>
    <t xml:space="preserve">#</t>
  </si>
  <si>
    <t xml:space="preserve">Tipo</t>
  </si>
  <si>
    <t xml:space="preserve">URL / Referencia</t>
  </si>
  <si>
    <t xml:space="preserve">Variable que aporta</t>
  </si>
  <si>
    <t xml:space="preserve">Confiabilidad</t>
  </si>
  <si>
    <t xml:space="preserve">SENESCYT - Sistema Nacional de Información (SNIESE)</t>
  </si>
  <si>
    <t xml:space="preserve">Oficial Ecuador</t>
  </si>
  <si>
    <t xml:space="preserve">siau.senescyt.gob.ec</t>
  </si>
  <si>
    <t xml:space="preserve">Graduados por carrera, oferta académica, instituciones</t>
  </si>
  <si>
    <t xml:space="preserve">ALTA — fuente primaria oficial</t>
  </si>
  <si>
    <t xml:space="preserve">La Hora / Children International Ecuador</t>
  </si>
  <si>
    <t xml:space="preserve">Periodismo/ONG</t>
  </si>
  <si>
    <t xml:space="preserve">lahora.com.ec / childrenint'l</t>
  </si>
  <si>
    <t xml:space="preserve">Desempleo juvenil, habilidades, tiempo para emplearse</t>
  </si>
  <si>
    <t xml:space="preserve">ALTA — datos INEC citados</t>
  </si>
  <si>
    <t xml:space="preserve">INEC - Instituto Nacional de Estadística</t>
  </si>
  <si>
    <t xml:space="preserve">ecuadorencifras.gob.ec</t>
  </si>
  <si>
    <t xml:space="preserve">Desempleo, subempleo, informalidad juvenil</t>
  </si>
  <si>
    <t xml:space="preserve">Xataka / Sixth Tone — Universidades China</t>
  </si>
  <si>
    <t xml:space="preserve">xataka.com (artículo referencia)</t>
  </si>
  <si>
    <t xml:space="preserve">Carreras eliminadas por IA en China, tendencia global</t>
  </si>
  <si>
    <t xml:space="preserve">ALTA — hechos verificables</t>
  </si>
  <si>
    <t xml:space="preserve">WEF - Future of Jobs Report 2025</t>
  </si>
  <si>
    <t xml:space="preserve">Internacional</t>
  </si>
  <si>
    <t xml:space="preserve">weforum.org / reports</t>
  </si>
  <si>
    <t xml:space="preserve">Empleos creados/eliminados, skills, empleadores</t>
  </si>
  <si>
    <t xml:space="preserve">ALTA — informe anual WEF</t>
  </si>
  <si>
    <t xml:space="preserve">McKinsey Global Institute - Gen-AI Report</t>
  </si>
  <si>
    <t xml:space="preserve">Consultoría</t>
  </si>
  <si>
    <t xml:space="preserve">2023-24</t>
  </si>
  <si>
    <t xml:space="preserve">mckinsey.com</t>
  </si>
  <si>
    <t xml:space="preserve">% automatización por tarea, transiciones, inequidad</t>
  </si>
  <si>
    <t xml:space="preserve">ALTA — metodología rigurosa</t>
  </si>
  <si>
    <t xml:space="preserve">Frey &amp; Osborne - Oxford (2013 actualizado)</t>
  </si>
  <si>
    <t xml:space="preserve">Académica</t>
  </si>
  <si>
    <t xml:space="preserve">2013/actualizado</t>
  </si>
  <si>
    <t xml:space="preserve">Oxford Martin School</t>
  </si>
  <si>
    <t xml:space="preserve">% automatizable por ocupación (702 ocupaciones EEUU)</t>
  </si>
  <si>
    <t xml:space="preserve">ALTA — estudio fundacional</t>
  </si>
  <si>
    <t xml:space="preserve">OCDE - Employment Outlook</t>
  </si>
  <si>
    <t xml:space="preserve">oecd.org</t>
  </si>
  <si>
    <t xml:space="preserve">Riesgo por educación, 9% empleos alto riesgo, educación</t>
  </si>
  <si>
    <t xml:space="preserve">ALTA — cobertura 38 países</t>
  </si>
  <si>
    <t xml:space="preserve">CEPAL / BID - Futuro del Trabajo LATAM</t>
  </si>
  <si>
    <t xml:space="preserve">Regional</t>
  </si>
  <si>
    <t xml:space="preserve">cepal.org / iadb.org</t>
  </si>
  <si>
    <t xml:space="preserve">35% empleos automatizables en LATAM</t>
  </si>
  <si>
    <t xml:space="preserve">ALTA — específico para región</t>
  </si>
  <si>
    <t xml:space="preserve">Goldman Sachs AI Report</t>
  </si>
  <si>
    <t xml:space="preserve">Financiero</t>
  </si>
  <si>
    <t xml:space="preserve">gs.com</t>
  </si>
  <si>
    <t xml:space="preserve">300M empleos desplazados, 50% automatizables 2045</t>
  </si>
  <si>
    <t xml:space="preserve">MEDIA-ALTA — proyección</t>
  </si>
  <si>
    <t xml:space="preserve">PwC - Global Workforce Hopes &amp; Fears</t>
  </si>
  <si>
    <t xml:space="preserve">2024-25</t>
  </si>
  <si>
    <t xml:space="preserve">pwc.com</t>
  </si>
  <si>
    <t xml:space="preserve">60% empleos requieren adaptación, ahorro 30-40%</t>
  </si>
  <si>
    <t xml:space="preserve">MEDIA-ALTA — encuesta global</t>
  </si>
  <si>
    <t xml:space="preserve">BCG AI Maturity Index</t>
  </si>
  <si>
    <t xml:space="preserve">bcg.com</t>
  </si>
  <si>
    <t xml:space="preserve">Puntaje 20/100 Ecuador, ranking 11/19 LATAM</t>
  </si>
  <si>
    <t xml:space="preserve">ALTA — índice estructurado</t>
  </si>
  <si>
    <t xml:space="preserve">Stanford HAI - AI Index 2025</t>
  </si>
  <si>
    <t xml:space="preserve">hai.stanford.edu</t>
  </si>
  <si>
    <t xml:space="preserve">Harvey/CoCounsel 90% precisión legal, IA vs humano</t>
  </si>
  <si>
    <t xml:space="preserve">ALTA — investigación rigurosa</t>
  </si>
  <si>
    <t xml:space="preserve">Primicias.ec - Investigación Senescyt</t>
  </si>
  <si>
    <t xml:space="preserve">Periodismo EC</t>
  </si>
  <si>
    <t xml:space="preserve">primicias.ec</t>
  </si>
  <si>
    <t xml:space="preserve">Top 10 graduados, sobrecalificación, maestrías</t>
  </si>
  <si>
    <t xml:space="preserve">ALTA — datos Senescyt verificados</t>
  </si>
  <si>
    <t xml:space="preserve">MINTEL Ecuador / PNUD</t>
  </si>
  <si>
    <t xml:space="preserve">mintel.gob.ec</t>
  </si>
  <si>
    <t xml:space="preserve">Estrategia Nacional IA 2025-2029, conectividad</t>
  </si>
  <si>
    <t xml:space="preserve">ALTA — fuente primaria</t>
  </si>
  <si>
    <t xml:space="preserve">IPPR - Institute for Public Policy Research</t>
  </si>
  <si>
    <t xml:space="preserve">Académica UK</t>
  </si>
  <si>
    <t xml:space="preserve">ippr.org</t>
  </si>
  <si>
    <t xml:space="preserve">60% tareas admin automatizables</t>
  </si>
  <si>
    <t xml:space="preserve">ALTA — investigación con datos</t>
  </si>
  <si>
    <t xml:space="preserve">JPMorgan Chase - Jamie Dimon letter</t>
  </si>
  <si>
    <t xml:space="preserve">Corporativo</t>
  </si>
  <si>
    <t xml:space="preserve">jpmorganchase.com</t>
  </si>
  <si>
    <t xml:space="preserve">20% roles analíticos banca afectados 2030</t>
  </si>
  <si>
    <t xml:space="preserve">MEDIA — perspectiva sector</t>
  </si>
  <si>
    <t xml:space="preserve">Innovacion.ec / SergioMazure</t>
  </si>
  <si>
    <t xml:space="preserve">Analistas EC</t>
  </si>
  <si>
    <t xml:space="preserve">2025-26</t>
  </si>
  <si>
    <t xml:space="preserve">innovacion.ec</t>
  </si>
  <si>
    <t xml:space="preserve">40% empresas EC usan IA, brecha digital 26%</t>
  </si>
  <si>
    <t xml:space="preserve">MEDIA — análisis local</t>
  </si>
  <si>
    <t xml:space="preserve">NOTA METODOLÓGICA: Los datos de graduados por carrera (hojas 1, 6, 7) mezclan datos exactos de Senescyt (top 3 confirmados) con estimaciones consistentes con el total de 90,715. Las variables de riesgo IA siguen la metodología Frey &amp; Osborne ajustada con McKinsey Gen-AI 2023 y WEF 2025. El año de obsolescencia parcial = Ecuador + rezago 3-5 años vs. mercados líderes.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</si>
</sst>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17375E"/>
        <bgColor rgb="FF1F3864"/>
      </patternFill>
    </fill>
    <fill>
      <patternFill patternType="solid">
        <fgColor rgb="FF375623"/>
        <bgColor rgb="FF444444"/>
      </patternFill>
    </fill>
    <fill>
      <patternFill patternType="solid">
        <fgColor rgb="FF2F4858"/>
        <bgColor rgb="FF444444"/>
      </patternFill>
    </fill>
    <fill>
      <patternFill patternType="solid">
        <fgColor rgb="FF4A235A"/>
        <bgColor rgb="FF444444"/>
      </patternFill>
    </fill>
    <fill>
      <patternFill patternType="solid">
        <fgColor rgb="FF7E3D00"/>
        <bgColor rgb="FF7B241C"/>
      </patternFill>
    </fill>
    <fill>
      <patternFill patternType="solid">
        <fgColor rgb="FF7B241C"/>
        <bgColor rgb="FF7E3D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4A235A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2F4858"/>
      <rgbColor rgb="FF375623"/>
      <rgbColor rgb="FF7E3D00"/>
      <rgbColor rgb="FF993366"/>
      <rgbColor rgb="FF1F3864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35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n">
        <v>5045</v>
      </c>
      <c r="D2" s="3" t="n">
        <v>5.56</v>
      </c>
      <c r="E2" s="3" t="s">
        <v>16</v>
      </c>
      <c r="F2" s="3" t="s">
        <v>17</v>
      </c>
      <c r="G2" s="3" t="s">
        <v>18</v>
      </c>
      <c r="H2" s="3" t="n">
        <v>62</v>
      </c>
      <c r="I2" s="3" t="n">
        <v>8</v>
      </c>
      <c r="J2" s="3" t="n">
        <v>2027</v>
      </c>
      <c r="K2" s="3" t="n">
        <v>2035</v>
      </c>
      <c r="L2" s="2" t="s">
        <v>19</v>
      </c>
      <c r="M2" s="2" t="s">
        <v>20</v>
      </c>
      <c r="N2" s="2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5" t="n">
        <v>3105</v>
      </c>
      <c r="D3" s="5" t="n">
        <v>3.42</v>
      </c>
      <c r="E3" s="5" t="s">
        <v>24</v>
      </c>
      <c r="F3" s="5" t="s">
        <v>25</v>
      </c>
      <c r="G3" s="5" t="s">
        <v>26</v>
      </c>
      <c r="H3" s="5" t="n">
        <v>55</v>
      </c>
      <c r="I3" s="5" t="n">
        <v>7</v>
      </c>
      <c r="J3" s="5" t="n">
        <v>2028</v>
      </c>
      <c r="K3" s="5" t="n">
        <v>2037</v>
      </c>
      <c r="L3" s="4" t="s">
        <v>27</v>
      </c>
      <c r="M3" s="4" t="s">
        <v>20</v>
      </c>
      <c r="N3" s="4" t="s">
        <v>28</v>
      </c>
    </row>
    <row r="4" customFormat="false" ht="15" hidden="false" customHeight="false" outlineLevel="0" collapsed="false">
      <c r="A4" s="2" t="s">
        <v>29</v>
      </c>
      <c r="B4" s="2" t="s">
        <v>23</v>
      </c>
      <c r="C4" s="3" t="n">
        <v>2586</v>
      </c>
      <c r="D4" s="3" t="n">
        <v>2.85</v>
      </c>
      <c r="E4" s="3" t="s">
        <v>16</v>
      </c>
      <c r="F4" s="3" t="s">
        <v>25</v>
      </c>
      <c r="G4" s="3" t="s">
        <v>26</v>
      </c>
      <c r="H4" s="3" t="n">
        <v>72</v>
      </c>
      <c r="I4" s="3" t="n">
        <v>9</v>
      </c>
      <c r="J4" s="3" t="n">
        <v>2026</v>
      </c>
      <c r="K4" s="3" t="n">
        <v>2033</v>
      </c>
      <c r="L4" s="2" t="s">
        <v>19</v>
      </c>
      <c r="M4" s="2" t="s">
        <v>30</v>
      </c>
      <c r="N4" s="2" t="s">
        <v>31</v>
      </c>
    </row>
    <row r="5" customFormat="false" ht="15" hidden="false" customHeight="false" outlineLevel="0" collapsed="false">
      <c r="A5" s="4" t="s">
        <v>32</v>
      </c>
      <c r="B5" s="4" t="s">
        <v>33</v>
      </c>
      <c r="C5" s="5" t="n">
        <v>2200</v>
      </c>
      <c r="D5" s="5" t="n">
        <v>2.42</v>
      </c>
      <c r="E5" s="5" t="s">
        <v>24</v>
      </c>
      <c r="F5" s="5" t="s">
        <v>16</v>
      </c>
      <c r="G5" s="5" t="s">
        <v>34</v>
      </c>
      <c r="H5" s="5" t="n">
        <v>15</v>
      </c>
      <c r="I5" s="5" t="n">
        <v>2</v>
      </c>
      <c r="J5" s="5" t="n">
        <v>2040</v>
      </c>
      <c r="K5" s="5" t="n">
        <v>2055</v>
      </c>
      <c r="L5" s="4" t="s">
        <v>35</v>
      </c>
      <c r="M5" s="4" t="s">
        <v>36</v>
      </c>
      <c r="N5" s="4" t="s">
        <v>37</v>
      </c>
    </row>
    <row r="6" customFormat="false" ht="15" hidden="false" customHeight="false" outlineLevel="0" collapsed="false">
      <c r="A6" s="2" t="s">
        <v>38</v>
      </c>
      <c r="B6" s="2" t="s">
        <v>33</v>
      </c>
      <c r="C6" s="3" t="n">
        <v>1900</v>
      </c>
      <c r="D6" s="3" t="n">
        <v>2.09</v>
      </c>
      <c r="E6" s="3" t="s">
        <v>16</v>
      </c>
      <c r="F6" s="3" t="s">
        <v>16</v>
      </c>
      <c r="G6" s="3" t="s">
        <v>34</v>
      </c>
      <c r="H6" s="3" t="n">
        <v>14</v>
      </c>
      <c r="I6" s="3" t="n">
        <v>2</v>
      </c>
      <c r="J6" s="3" t="n">
        <v>2042</v>
      </c>
      <c r="K6" s="3" t="n">
        <v>2060</v>
      </c>
      <c r="L6" s="2" t="s">
        <v>35</v>
      </c>
      <c r="M6" s="2" t="s">
        <v>36</v>
      </c>
      <c r="N6" s="2" t="s">
        <v>28</v>
      </c>
    </row>
    <row r="7" customFormat="false" ht="15" hidden="false" customHeight="false" outlineLevel="0" collapsed="false">
      <c r="A7" s="4" t="s">
        <v>39</v>
      </c>
      <c r="B7" s="4" t="s">
        <v>40</v>
      </c>
      <c r="C7" s="5" t="n">
        <v>1800</v>
      </c>
      <c r="D7" s="5" t="n">
        <v>1.98</v>
      </c>
      <c r="E7" s="5" t="s">
        <v>16</v>
      </c>
      <c r="F7" s="5" t="s">
        <v>25</v>
      </c>
      <c r="G7" s="5" t="s">
        <v>26</v>
      </c>
      <c r="H7" s="5" t="n">
        <v>10</v>
      </c>
      <c r="I7" s="5" t="n">
        <v>1</v>
      </c>
      <c r="J7" s="5" t="n">
        <v>2045</v>
      </c>
      <c r="K7" s="5" t="n">
        <v>2070</v>
      </c>
      <c r="L7" s="4" t="s">
        <v>35</v>
      </c>
      <c r="M7" s="4" t="s">
        <v>41</v>
      </c>
      <c r="N7" s="4" t="s">
        <v>31</v>
      </c>
    </row>
    <row r="8" customFormat="false" ht="15" hidden="false" customHeight="false" outlineLevel="0" collapsed="false">
      <c r="A8" s="2" t="s">
        <v>42</v>
      </c>
      <c r="B8" s="2" t="s">
        <v>40</v>
      </c>
      <c r="C8" s="3" t="n">
        <v>1750</v>
      </c>
      <c r="D8" s="3" t="n">
        <v>1.93</v>
      </c>
      <c r="E8" s="3" t="s">
        <v>16</v>
      </c>
      <c r="F8" s="3" t="s">
        <v>25</v>
      </c>
      <c r="G8" s="3" t="s">
        <v>26</v>
      </c>
      <c r="H8" s="3" t="n">
        <v>10</v>
      </c>
      <c r="I8" s="3" t="n">
        <v>1</v>
      </c>
      <c r="J8" s="3" t="n">
        <v>2045</v>
      </c>
      <c r="K8" s="3" t="n">
        <v>2070</v>
      </c>
      <c r="L8" s="2" t="s">
        <v>35</v>
      </c>
      <c r="M8" s="2" t="s">
        <v>41</v>
      </c>
      <c r="N8" s="2" t="s">
        <v>43</v>
      </c>
    </row>
    <row r="9" customFormat="false" ht="15" hidden="false" customHeight="false" outlineLevel="0" collapsed="false">
      <c r="A9" s="4" t="s">
        <v>44</v>
      </c>
      <c r="B9" s="4" t="s">
        <v>45</v>
      </c>
      <c r="C9" s="5" t="n">
        <v>1600</v>
      </c>
      <c r="D9" s="5" t="n">
        <v>1.76</v>
      </c>
      <c r="E9" s="5" t="s">
        <v>16</v>
      </c>
      <c r="F9" s="5" t="s">
        <v>25</v>
      </c>
      <c r="G9" s="5" t="s">
        <v>46</v>
      </c>
      <c r="H9" s="5" t="n">
        <v>18</v>
      </c>
      <c r="I9" s="5" t="n">
        <v>3</v>
      </c>
      <c r="J9" s="5" t="n">
        <v>2038</v>
      </c>
      <c r="K9" s="5" t="n">
        <v>2055</v>
      </c>
      <c r="L9" s="4" t="s">
        <v>35</v>
      </c>
      <c r="M9" s="4" t="s">
        <v>36</v>
      </c>
      <c r="N9" s="4" t="s">
        <v>37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3" t="n">
        <v>1400</v>
      </c>
      <c r="D10" s="3" t="n">
        <v>1.54</v>
      </c>
      <c r="E10" s="3" t="s">
        <v>16</v>
      </c>
      <c r="F10" s="3" t="s">
        <v>49</v>
      </c>
      <c r="G10" s="3" t="s">
        <v>18</v>
      </c>
      <c r="H10" s="3" t="n">
        <v>58</v>
      </c>
      <c r="I10" s="3" t="n">
        <v>7</v>
      </c>
      <c r="J10" s="3" t="n">
        <v>2027</v>
      </c>
      <c r="K10" s="3" t="n">
        <v>2034</v>
      </c>
      <c r="L10" s="2" t="s">
        <v>27</v>
      </c>
      <c r="M10" s="2" t="s">
        <v>20</v>
      </c>
      <c r="N10" s="2" t="s">
        <v>43</v>
      </c>
    </row>
    <row r="11" customFormat="false" ht="15" hidden="false" customHeight="false" outlineLevel="0" collapsed="false">
      <c r="A11" s="4" t="s">
        <v>50</v>
      </c>
      <c r="B11" s="4" t="s">
        <v>51</v>
      </c>
      <c r="C11" s="5" t="n">
        <v>1350</v>
      </c>
      <c r="D11" s="5" t="n">
        <v>1.49</v>
      </c>
      <c r="E11" s="5" t="s">
        <v>16</v>
      </c>
      <c r="F11" s="5" t="s">
        <v>16</v>
      </c>
      <c r="G11" s="5" t="s">
        <v>34</v>
      </c>
      <c r="H11" s="5" t="n">
        <v>28</v>
      </c>
      <c r="I11" s="5" t="n">
        <v>4</v>
      </c>
      <c r="J11" s="5" t="n">
        <v>2035</v>
      </c>
      <c r="K11" s="5" t="n">
        <v>2045</v>
      </c>
      <c r="L11" s="4" t="s">
        <v>52</v>
      </c>
      <c r="M11" s="4" t="s">
        <v>53</v>
      </c>
      <c r="N11" s="4" t="s">
        <v>43</v>
      </c>
    </row>
    <row r="12" customFormat="false" ht="15" hidden="false" customHeight="false" outlineLevel="0" collapsed="false">
      <c r="A12" s="2" t="s">
        <v>54</v>
      </c>
      <c r="B12" s="2" t="s">
        <v>51</v>
      </c>
      <c r="C12" s="3" t="n">
        <v>1200</v>
      </c>
      <c r="D12" s="3" t="n">
        <v>1.32</v>
      </c>
      <c r="E12" s="3" t="s">
        <v>25</v>
      </c>
      <c r="F12" s="3" t="s">
        <v>25</v>
      </c>
      <c r="G12" s="3" t="s">
        <v>34</v>
      </c>
      <c r="H12" s="3" t="n">
        <v>35</v>
      </c>
      <c r="I12" s="3" t="n">
        <v>5</v>
      </c>
      <c r="J12" s="3" t="n">
        <v>2032</v>
      </c>
      <c r="K12" s="3" t="n">
        <v>2042</v>
      </c>
      <c r="L12" s="2" t="s">
        <v>27</v>
      </c>
      <c r="M12" s="2" t="s">
        <v>53</v>
      </c>
      <c r="N12" s="2" t="s">
        <v>43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5" t="n">
        <v>1100</v>
      </c>
      <c r="D13" s="5" t="n">
        <v>1.21</v>
      </c>
      <c r="E13" s="5" t="s">
        <v>25</v>
      </c>
      <c r="F13" s="5" t="s">
        <v>57</v>
      </c>
      <c r="G13" s="5" t="s">
        <v>26</v>
      </c>
      <c r="H13" s="5" t="n">
        <v>40</v>
      </c>
      <c r="I13" s="5" t="n">
        <v>5</v>
      </c>
      <c r="J13" s="5" t="n">
        <v>2030</v>
      </c>
      <c r="K13" s="5" t="n">
        <v>2040</v>
      </c>
      <c r="L13" s="4" t="s">
        <v>27</v>
      </c>
      <c r="M13" s="4" t="s">
        <v>53</v>
      </c>
      <c r="N13" s="4" t="s">
        <v>43</v>
      </c>
    </row>
    <row r="14" customFormat="false" ht="15" hidden="false" customHeight="false" outlineLevel="0" collapsed="false">
      <c r="A14" s="2" t="s">
        <v>58</v>
      </c>
      <c r="B14" s="2" t="s">
        <v>23</v>
      </c>
      <c r="C14" s="3" t="n">
        <v>980</v>
      </c>
      <c r="D14" s="3" t="n">
        <v>1.08</v>
      </c>
      <c r="E14" s="3" t="s">
        <v>16</v>
      </c>
      <c r="F14" s="3" t="s">
        <v>25</v>
      </c>
      <c r="G14" s="3" t="s">
        <v>26</v>
      </c>
      <c r="H14" s="3" t="n">
        <v>50</v>
      </c>
      <c r="I14" s="3" t="n">
        <v>6</v>
      </c>
      <c r="J14" s="3" t="n">
        <v>2028</v>
      </c>
      <c r="K14" s="3" t="n">
        <v>2036</v>
      </c>
      <c r="L14" s="2" t="s">
        <v>27</v>
      </c>
      <c r="M14" s="2" t="s">
        <v>20</v>
      </c>
      <c r="N14" s="2" t="s">
        <v>43</v>
      </c>
    </row>
    <row r="15" customFormat="false" ht="15" hidden="false" customHeight="false" outlineLevel="0" collapsed="false">
      <c r="A15" s="4" t="s">
        <v>59</v>
      </c>
      <c r="B15" s="4" t="s">
        <v>56</v>
      </c>
      <c r="C15" s="5" t="n">
        <v>870</v>
      </c>
      <c r="D15" s="5" t="n">
        <v>0.96</v>
      </c>
      <c r="E15" s="5" t="s">
        <v>25</v>
      </c>
      <c r="F15" s="5" t="s">
        <v>49</v>
      </c>
      <c r="G15" s="5" t="s">
        <v>26</v>
      </c>
      <c r="H15" s="5" t="n">
        <v>65</v>
      </c>
      <c r="I15" s="5" t="n">
        <v>8</v>
      </c>
      <c r="J15" s="5" t="n">
        <v>2026</v>
      </c>
      <c r="K15" s="5" t="n">
        <v>2032</v>
      </c>
      <c r="L15" s="4" t="s">
        <v>19</v>
      </c>
      <c r="M15" s="4" t="s">
        <v>30</v>
      </c>
      <c r="N15" s="4" t="s">
        <v>60</v>
      </c>
    </row>
    <row r="16" customFormat="false" ht="15" hidden="false" customHeight="false" outlineLevel="0" collapsed="false">
      <c r="A16" s="2" t="s">
        <v>61</v>
      </c>
      <c r="B16" s="2" t="s">
        <v>62</v>
      </c>
      <c r="C16" s="3" t="n">
        <v>820</v>
      </c>
      <c r="D16" s="3" t="n">
        <v>0.9</v>
      </c>
      <c r="E16" s="3" t="s">
        <v>25</v>
      </c>
      <c r="F16" s="3" t="s">
        <v>24</v>
      </c>
      <c r="G16" s="3" t="s">
        <v>63</v>
      </c>
      <c r="H16" s="3" t="n">
        <v>20</v>
      </c>
      <c r="I16" s="3" t="n">
        <v>3</v>
      </c>
      <c r="J16" s="3" t="n">
        <v>2038</v>
      </c>
      <c r="K16" s="3" t="n">
        <v>2050</v>
      </c>
      <c r="L16" s="2" t="s">
        <v>52</v>
      </c>
      <c r="M16" s="2" t="s">
        <v>36</v>
      </c>
      <c r="N16" s="2" t="s">
        <v>43</v>
      </c>
    </row>
    <row r="17" customFormat="false" ht="15" hidden="false" customHeight="false" outlineLevel="0" collapsed="false">
      <c r="A17" s="4" t="s">
        <v>64</v>
      </c>
      <c r="B17" s="4" t="s">
        <v>23</v>
      </c>
      <c r="C17" s="5" t="n">
        <v>780</v>
      </c>
      <c r="D17" s="5" t="n">
        <v>0.86</v>
      </c>
      <c r="E17" s="5" t="s">
        <v>25</v>
      </c>
      <c r="F17" s="5" t="s">
        <v>25</v>
      </c>
      <c r="G17" s="5" t="s">
        <v>26</v>
      </c>
      <c r="H17" s="5" t="n">
        <v>58</v>
      </c>
      <c r="I17" s="5" t="n">
        <v>7</v>
      </c>
      <c r="J17" s="5" t="n">
        <v>2028</v>
      </c>
      <c r="K17" s="5" t="n">
        <v>2036</v>
      </c>
      <c r="L17" s="4" t="s">
        <v>27</v>
      </c>
      <c r="M17" s="4" t="s">
        <v>20</v>
      </c>
      <c r="N17" s="4" t="s">
        <v>43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3" t="n">
        <v>720</v>
      </c>
      <c r="D18" s="3" t="n">
        <v>0.79</v>
      </c>
      <c r="E18" s="3" t="s">
        <v>25</v>
      </c>
      <c r="F18" s="3" t="s">
        <v>25</v>
      </c>
      <c r="G18" s="3" t="s">
        <v>46</v>
      </c>
      <c r="H18" s="3" t="n">
        <v>12</v>
      </c>
      <c r="I18" s="3" t="n">
        <v>2</v>
      </c>
      <c r="J18" s="3" t="n">
        <v>2040</v>
      </c>
      <c r="K18" s="3" t="n">
        <v>2060</v>
      </c>
      <c r="L18" s="2" t="s">
        <v>35</v>
      </c>
      <c r="M18" s="2" t="s">
        <v>36</v>
      </c>
      <c r="N18" s="2" t="s">
        <v>43</v>
      </c>
    </row>
    <row r="19" customFormat="false" ht="15" hidden="false" customHeight="false" outlineLevel="0" collapsed="false">
      <c r="A19" s="4" t="s">
        <v>67</v>
      </c>
      <c r="B19" s="4" t="s">
        <v>48</v>
      </c>
      <c r="C19" s="5" t="n">
        <v>650</v>
      </c>
      <c r="D19" s="5" t="n">
        <v>0.72</v>
      </c>
      <c r="E19" s="5" t="s">
        <v>25</v>
      </c>
      <c r="F19" s="5" t="s">
        <v>49</v>
      </c>
      <c r="G19" s="5" t="s">
        <v>18</v>
      </c>
      <c r="H19" s="5" t="n">
        <v>55</v>
      </c>
      <c r="I19" s="5" t="n">
        <v>7</v>
      </c>
      <c r="J19" s="5" t="n">
        <v>2027</v>
      </c>
      <c r="K19" s="5" t="n">
        <v>2034</v>
      </c>
      <c r="L19" s="4" t="s">
        <v>27</v>
      </c>
      <c r="M19" s="4" t="s">
        <v>20</v>
      </c>
      <c r="N19" s="4" t="s">
        <v>43</v>
      </c>
    </row>
    <row r="20" customFormat="false" ht="15" hidden="false" customHeight="false" outlineLevel="0" collapsed="false">
      <c r="A20" s="2" t="s">
        <v>68</v>
      </c>
      <c r="B20" s="2" t="s">
        <v>48</v>
      </c>
      <c r="C20" s="3" t="n">
        <v>620</v>
      </c>
      <c r="D20" s="3" t="n">
        <v>0.68</v>
      </c>
      <c r="E20" s="3" t="s">
        <v>25</v>
      </c>
      <c r="F20" s="3" t="s">
        <v>49</v>
      </c>
      <c r="G20" s="3" t="s">
        <v>18</v>
      </c>
      <c r="H20" s="3" t="n">
        <v>60</v>
      </c>
      <c r="I20" s="3" t="n">
        <v>7</v>
      </c>
      <c r="J20" s="3" t="n">
        <v>2027</v>
      </c>
      <c r="K20" s="3" t="n">
        <v>2032</v>
      </c>
      <c r="L20" s="2" t="s">
        <v>27</v>
      </c>
      <c r="M20" s="2" t="s">
        <v>20</v>
      </c>
      <c r="N20" s="2" t="s">
        <v>43</v>
      </c>
    </row>
    <row r="21" customFormat="false" ht="15" hidden="false" customHeight="false" outlineLevel="0" collapsed="false">
      <c r="A21" s="4" t="s">
        <v>69</v>
      </c>
      <c r="B21" s="4" t="s">
        <v>51</v>
      </c>
      <c r="C21" s="5" t="n">
        <v>580</v>
      </c>
      <c r="D21" s="5" t="n">
        <v>0.64</v>
      </c>
      <c r="E21" s="5" t="s">
        <v>57</v>
      </c>
      <c r="F21" s="5" t="s">
        <v>16</v>
      </c>
      <c r="G21" s="5" t="s">
        <v>63</v>
      </c>
      <c r="H21" s="5" t="n">
        <v>25</v>
      </c>
      <c r="I21" s="5" t="n">
        <v>3</v>
      </c>
      <c r="J21" s="5" t="n">
        <v>2036</v>
      </c>
      <c r="K21" s="5" t="n">
        <v>2048</v>
      </c>
      <c r="L21" s="4" t="s">
        <v>52</v>
      </c>
      <c r="M21" s="4" t="s">
        <v>36</v>
      </c>
      <c r="N21" s="4" t="s">
        <v>43</v>
      </c>
    </row>
    <row r="22" customFormat="false" ht="15" hidden="false" customHeight="false" outlineLevel="0" collapsed="false">
      <c r="A22" s="2" t="s">
        <v>70</v>
      </c>
      <c r="B22" s="2" t="s">
        <v>62</v>
      </c>
      <c r="C22" s="3" t="n">
        <v>540</v>
      </c>
      <c r="D22" s="3" t="n">
        <v>0.6</v>
      </c>
      <c r="E22" s="3" t="s">
        <v>25</v>
      </c>
      <c r="F22" s="3" t="s">
        <v>24</v>
      </c>
      <c r="G22" s="3" t="s">
        <v>63</v>
      </c>
      <c r="H22" s="3" t="n">
        <v>18</v>
      </c>
      <c r="I22" s="3" t="n">
        <v>2</v>
      </c>
      <c r="J22" s="3" t="n">
        <v>2040</v>
      </c>
      <c r="K22" s="3" t="n">
        <v>2055</v>
      </c>
      <c r="L22" s="2" t="s">
        <v>52</v>
      </c>
      <c r="M22" s="2" t="s">
        <v>41</v>
      </c>
      <c r="N22" s="2" t="s">
        <v>71</v>
      </c>
    </row>
    <row r="23" customFormat="false" ht="15" hidden="false" customHeight="false" outlineLevel="0" collapsed="false">
      <c r="A23" s="4" t="s">
        <v>72</v>
      </c>
      <c r="B23" s="4" t="s">
        <v>73</v>
      </c>
      <c r="C23" s="5" t="n">
        <v>520</v>
      </c>
      <c r="D23" s="5" t="n">
        <v>0.57</v>
      </c>
      <c r="E23" s="5" t="s">
        <v>25</v>
      </c>
      <c r="F23" s="5" t="s">
        <v>25</v>
      </c>
      <c r="G23" s="5" t="s">
        <v>26</v>
      </c>
      <c r="H23" s="5" t="n">
        <v>42</v>
      </c>
      <c r="I23" s="5" t="n">
        <v>5</v>
      </c>
      <c r="J23" s="5" t="n">
        <v>2030</v>
      </c>
      <c r="K23" s="5" t="n">
        <v>2040</v>
      </c>
      <c r="L23" s="4" t="s">
        <v>27</v>
      </c>
      <c r="M23" s="4" t="s">
        <v>53</v>
      </c>
      <c r="N23" s="4" t="s">
        <v>43</v>
      </c>
    </row>
    <row r="24" customFormat="false" ht="15" hidden="false" customHeight="false" outlineLevel="0" collapsed="false">
      <c r="A24" s="2" t="s">
        <v>74</v>
      </c>
      <c r="B24" s="2" t="s">
        <v>73</v>
      </c>
      <c r="C24" s="3" t="n">
        <v>480</v>
      </c>
      <c r="D24" s="3" t="n">
        <v>0.53</v>
      </c>
      <c r="E24" s="3" t="s">
        <v>25</v>
      </c>
      <c r="F24" s="3" t="s">
        <v>25</v>
      </c>
      <c r="G24" s="3" t="s">
        <v>34</v>
      </c>
      <c r="H24" s="3" t="n">
        <v>20</v>
      </c>
      <c r="I24" s="3" t="n">
        <v>3</v>
      </c>
      <c r="J24" s="3" t="n">
        <v>2038</v>
      </c>
      <c r="K24" s="3" t="n">
        <v>2050</v>
      </c>
      <c r="L24" s="2" t="s">
        <v>27</v>
      </c>
      <c r="M24" s="2" t="s">
        <v>36</v>
      </c>
      <c r="N24" s="2" t="s">
        <v>43</v>
      </c>
    </row>
    <row r="25" customFormat="false" ht="15" hidden="false" customHeight="false" outlineLevel="0" collapsed="false">
      <c r="A25" s="4" t="s">
        <v>75</v>
      </c>
      <c r="B25" s="4" t="s">
        <v>76</v>
      </c>
      <c r="C25" s="5" t="n">
        <v>320</v>
      </c>
      <c r="D25" s="5" t="n">
        <v>0.35</v>
      </c>
      <c r="E25" s="5" t="s">
        <v>49</v>
      </c>
      <c r="F25" s="5" t="s">
        <v>77</v>
      </c>
      <c r="G25" s="5" t="s">
        <v>18</v>
      </c>
      <c r="H25" s="5" t="n">
        <v>72</v>
      </c>
      <c r="I25" s="5" t="n">
        <v>9</v>
      </c>
      <c r="J25" s="5" t="n">
        <v>2025</v>
      </c>
      <c r="K25" s="5" t="n">
        <v>2030</v>
      </c>
      <c r="L25" s="4" t="s">
        <v>19</v>
      </c>
      <c r="M25" s="4" t="s">
        <v>30</v>
      </c>
      <c r="N25" s="4" t="s">
        <v>60</v>
      </c>
    </row>
    <row r="26" customFormat="false" ht="15" hidden="false" customHeight="false" outlineLevel="0" collapsed="false">
      <c r="A26" s="2" t="s">
        <v>78</v>
      </c>
      <c r="B26" s="2" t="s">
        <v>76</v>
      </c>
      <c r="C26" s="3" t="n">
        <v>280</v>
      </c>
      <c r="D26" s="3" t="n">
        <v>0.31</v>
      </c>
      <c r="E26" s="3" t="s">
        <v>49</v>
      </c>
      <c r="F26" s="3" t="s">
        <v>77</v>
      </c>
      <c r="G26" s="3" t="s">
        <v>18</v>
      </c>
      <c r="H26" s="3" t="n">
        <v>80</v>
      </c>
      <c r="I26" s="3" t="n">
        <v>10</v>
      </c>
      <c r="J26" s="3" t="n">
        <v>2025</v>
      </c>
      <c r="K26" s="3" t="n">
        <v>2029</v>
      </c>
      <c r="L26" s="2" t="s">
        <v>19</v>
      </c>
      <c r="M26" s="2" t="s">
        <v>79</v>
      </c>
      <c r="N26" s="2" t="s">
        <v>80</v>
      </c>
    </row>
    <row r="27" customFormat="false" ht="15" hidden="false" customHeight="false" outlineLevel="0" collapsed="false">
      <c r="A27" s="4" t="s">
        <v>81</v>
      </c>
      <c r="B27" s="4" t="s">
        <v>76</v>
      </c>
      <c r="C27" s="5" t="n">
        <v>240</v>
      </c>
      <c r="D27" s="5" t="n">
        <v>0.26</v>
      </c>
      <c r="E27" s="5" t="s">
        <v>49</v>
      </c>
      <c r="F27" s="5" t="s">
        <v>77</v>
      </c>
      <c r="G27" s="5" t="s">
        <v>18</v>
      </c>
      <c r="H27" s="5" t="n">
        <v>70</v>
      </c>
      <c r="I27" s="5" t="n">
        <v>9</v>
      </c>
      <c r="J27" s="5" t="n">
        <v>2025</v>
      </c>
      <c r="K27" s="5" t="n">
        <v>2030</v>
      </c>
      <c r="L27" s="4" t="s">
        <v>19</v>
      </c>
      <c r="M27" s="4" t="s">
        <v>79</v>
      </c>
      <c r="N27" s="4" t="s">
        <v>80</v>
      </c>
    </row>
    <row r="28" customFormat="false" ht="15" hidden="false" customHeight="false" outlineLevel="0" collapsed="false">
      <c r="A28" s="2" t="s">
        <v>82</v>
      </c>
      <c r="B28" s="2" t="s">
        <v>62</v>
      </c>
      <c r="C28" s="3" t="n">
        <v>200</v>
      </c>
      <c r="D28" s="3" t="n">
        <v>0.22</v>
      </c>
      <c r="E28" s="3" t="s">
        <v>49</v>
      </c>
      <c r="F28" s="3" t="s">
        <v>24</v>
      </c>
      <c r="G28" s="3" t="s">
        <v>83</v>
      </c>
      <c r="H28" s="3" t="n">
        <v>8</v>
      </c>
      <c r="I28" s="3" t="n">
        <v>1</v>
      </c>
      <c r="J28" s="3" t="n">
        <v>2050</v>
      </c>
      <c r="K28" s="3" t="n">
        <v>2070</v>
      </c>
      <c r="L28" s="2" t="s">
        <v>52</v>
      </c>
      <c r="M28" s="2" t="s">
        <v>84</v>
      </c>
      <c r="N28" s="2" t="s">
        <v>85</v>
      </c>
    </row>
    <row r="29" customFormat="false" ht="15" hidden="false" customHeight="false" outlineLevel="0" collapsed="false">
      <c r="A29" s="4" t="s">
        <v>86</v>
      </c>
      <c r="B29" s="4" t="s">
        <v>62</v>
      </c>
      <c r="C29" s="5" t="n">
        <v>180</v>
      </c>
      <c r="D29" s="5" t="n">
        <v>0.2</v>
      </c>
      <c r="E29" s="5" t="s">
        <v>49</v>
      </c>
      <c r="F29" s="5" t="s">
        <v>24</v>
      </c>
      <c r="G29" s="5" t="s">
        <v>83</v>
      </c>
      <c r="H29" s="5" t="n">
        <v>5</v>
      </c>
      <c r="I29" s="5" t="n">
        <v>1</v>
      </c>
      <c r="J29" s="5" t="n">
        <v>2055</v>
      </c>
      <c r="K29" s="5" t="n">
        <v>2080</v>
      </c>
      <c r="L29" s="4" t="s">
        <v>52</v>
      </c>
      <c r="M29" s="4" t="s">
        <v>84</v>
      </c>
      <c r="N29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25"/>
    <col collapsed="false" customWidth="true" hidden="false" outlineLevel="0" max="6" min="6" style="0" width="3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13</v>
      </c>
      <c r="G1" s="6" t="s">
        <v>93</v>
      </c>
    </row>
    <row r="2" customFormat="false" ht="15" hidden="false" customHeight="false" outlineLevel="0" collapsed="false">
      <c r="A2" s="2" t="s">
        <v>94</v>
      </c>
      <c r="B2" s="3" t="s">
        <v>95</v>
      </c>
      <c r="C2" s="3" t="s">
        <v>96</v>
      </c>
      <c r="D2" s="3" t="s">
        <v>97</v>
      </c>
      <c r="E2" s="3" t="s">
        <v>98</v>
      </c>
      <c r="F2" s="2" t="s">
        <v>99</v>
      </c>
      <c r="G2" s="2"/>
    </row>
    <row r="3" customFormat="false" ht="15" hidden="false" customHeight="false" outlineLevel="0" collapsed="false">
      <c r="A3" s="4" t="s">
        <v>100</v>
      </c>
      <c r="B3" s="5" t="s">
        <v>101</v>
      </c>
      <c r="C3" s="5" t="s">
        <v>96</v>
      </c>
      <c r="D3" s="5" t="s">
        <v>97</v>
      </c>
      <c r="E3" s="5" t="s">
        <v>102</v>
      </c>
      <c r="F3" s="4" t="s">
        <v>99</v>
      </c>
      <c r="G3" s="4"/>
    </row>
    <row r="4" customFormat="false" ht="15" hidden="false" customHeight="false" outlineLevel="0" collapsed="false">
      <c r="A4" s="2" t="s">
        <v>103</v>
      </c>
      <c r="B4" s="3" t="s">
        <v>104</v>
      </c>
      <c r="C4" s="3" t="s">
        <v>96</v>
      </c>
      <c r="D4" s="3" t="s">
        <v>97</v>
      </c>
      <c r="E4" s="3" t="s">
        <v>105</v>
      </c>
      <c r="F4" s="2" t="s">
        <v>99</v>
      </c>
      <c r="G4" s="2"/>
    </row>
    <row r="5" customFormat="false" ht="15" hidden="false" customHeight="false" outlineLevel="0" collapsed="false">
      <c r="A5" s="4" t="s">
        <v>106</v>
      </c>
      <c r="B5" s="5" t="s">
        <v>107</v>
      </c>
      <c r="C5" s="5" t="s">
        <v>96</v>
      </c>
      <c r="D5" s="5" t="s">
        <v>97</v>
      </c>
      <c r="E5" s="5" t="s">
        <v>108</v>
      </c>
      <c r="F5" s="4" t="s">
        <v>109</v>
      </c>
      <c r="G5" s="4"/>
    </row>
    <row r="6" customFormat="false" ht="15" hidden="false" customHeight="false" outlineLevel="0" collapsed="false">
      <c r="A6" s="2" t="s">
        <v>110</v>
      </c>
      <c r="B6" s="3" t="s">
        <v>111</v>
      </c>
      <c r="C6" s="3" t="s">
        <v>96</v>
      </c>
      <c r="D6" s="3" t="s">
        <v>97</v>
      </c>
      <c r="E6" s="3" t="s">
        <v>108</v>
      </c>
      <c r="F6" s="2" t="s">
        <v>99</v>
      </c>
      <c r="G6" s="2"/>
    </row>
    <row r="7" customFormat="false" ht="15" hidden="false" customHeight="false" outlineLevel="0" collapsed="false">
      <c r="A7" s="4" t="s">
        <v>112</v>
      </c>
      <c r="B7" s="5" t="s">
        <v>113</v>
      </c>
      <c r="C7" s="5" t="s">
        <v>96</v>
      </c>
      <c r="D7" s="5" t="s">
        <v>97</v>
      </c>
      <c r="E7" s="5" t="s">
        <v>108</v>
      </c>
      <c r="F7" s="4" t="s">
        <v>99</v>
      </c>
      <c r="G7" s="4"/>
    </row>
    <row r="8" customFormat="false" ht="15" hidden="false" customHeight="false" outlineLevel="0" collapsed="false">
      <c r="A8" s="2" t="s">
        <v>114</v>
      </c>
      <c r="B8" s="3" t="s">
        <v>115</v>
      </c>
      <c r="C8" s="3" t="s">
        <v>96</v>
      </c>
      <c r="D8" s="3" t="s">
        <v>97</v>
      </c>
      <c r="E8" s="3" t="s">
        <v>108</v>
      </c>
      <c r="F8" s="2" t="s">
        <v>116</v>
      </c>
      <c r="G8" s="2"/>
    </row>
    <row r="9" customFormat="false" ht="15" hidden="false" customHeight="false" outlineLevel="0" collapsed="false">
      <c r="A9" s="4" t="s">
        <v>117</v>
      </c>
      <c r="B9" s="5" t="s">
        <v>118</v>
      </c>
      <c r="C9" s="5" t="s">
        <v>119</v>
      </c>
      <c r="D9" s="5" t="s">
        <v>97</v>
      </c>
      <c r="E9" s="5" t="s">
        <v>120</v>
      </c>
      <c r="F9" s="4" t="s">
        <v>109</v>
      </c>
      <c r="G9" s="4"/>
    </row>
    <row r="10" customFormat="false" ht="22.35" hidden="false" customHeight="false" outlineLevel="0" collapsed="false">
      <c r="A10" s="2" t="s">
        <v>121</v>
      </c>
      <c r="B10" s="3" t="s">
        <v>122</v>
      </c>
      <c r="C10" s="3" t="s">
        <v>96</v>
      </c>
      <c r="D10" s="3" t="s">
        <v>97</v>
      </c>
      <c r="E10" s="3" t="s">
        <v>123</v>
      </c>
      <c r="F10" s="2" t="s">
        <v>116</v>
      </c>
      <c r="G10" s="2"/>
    </row>
    <row r="11" customFormat="false" ht="15" hidden="false" customHeight="false" outlineLevel="0" collapsed="false">
      <c r="A11" s="4" t="s">
        <v>124</v>
      </c>
      <c r="B11" s="5" t="s">
        <v>125</v>
      </c>
      <c r="C11" s="5" t="s">
        <v>96</v>
      </c>
      <c r="D11" s="5" t="s">
        <v>97</v>
      </c>
      <c r="E11" s="5" t="s">
        <v>105</v>
      </c>
      <c r="F11" s="4" t="s">
        <v>99</v>
      </c>
      <c r="G11" s="4"/>
    </row>
    <row r="12" customFormat="false" ht="15" hidden="false" customHeight="false" outlineLevel="0" collapsed="false">
      <c r="A12" s="2" t="s">
        <v>126</v>
      </c>
      <c r="B12" s="3" t="s">
        <v>127</v>
      </c>
      <c r="C12" s="3" t="s">
        <v>96</v>
      </c>
      <c r="D12" s="3" t="s">
        <v>128</v>
      </c>
      <c r="E12" s="3" t="s">
        <v>129</v>
      </c>
      <c r="F12" s="2" t="s">
        <v>130</v>
      </c>
      <c r="G12" s="2" t="s">
        <v>131</v>
      </c>
    </row>
    <row r="13" customFormat="false" ht="15" hidden="false" customHeight="false" outlineLevel="0" collapsed="false">
      <c r="A13" s="4" t="s">
        <v>132</v>
      </c>
      <c r="B13" s="5" t="s">
        <v>133</v>
      </c>
      <c r="C13" s="5" t="s">
        <v>96</v>
      </c>
      <c r="D13" s="5" t="s">
        <v>128</v>
      </c>
      <c r="E13" s="5" t="s">
        <v>134</v>
      </c>
      <c r="F13" s="4" t="s">
        <v>135</v>
      </c>
      <c r="G13" s="4" t="s">
        <v>136</v>
      </c>
    </row>
    <row r="14" customFormat="false" ht="15" hidden="false" customHeight="false" outlineLevel="0" collapsed="false">
      <c r="A14" s="2" t="s">
        <v>137</v>
      </c>
      <c r="B14" s="3" t="s">
        <v>138</v>
      </c>
      <c r="C14" s="3" t="s">
        <v>139</v>
      </c>
      <c r="D14" s="3" t="s">
        <v>97</v>
      </c>
      <c r="E14" s="3" t="s">
        <v>129</v>
      </c>
      <c r="F14" s="2" t="s">
        <v>43</v>
      </c>
      <c r="G14" s="2"/>
    </row>
    <row r="15" customFormat="false" ht="15" hidden="false" customHeight="false" outlineLevel="0" collapsed="false">
      <c r="A15" s="4" t="s">
        <v>140</v>
      </c>
      <c r="B15" s="5" t="s">
        <v>141</v>
      </c>
      <c r="C15" s="5" t="s">
        <v>142</v>
      </c>
      <c r="D15" s="5" t="s">
        <v>97</v>
      </c>
      <c r="E15" s="5" t="s">
        <v>129</v>
      </c>
      <c r="F15" s="4" t="s">
        <v>43</v>
      </c>
      <c r="G15" s="4" t="s">
        <v>143</v>
      </c>
    </row>
    <row r="16" customFormat="false" ht="15" hidden="false" customHeight="false" outlineLevel="0" collapsed="false">
      <c r="A16" s="2" t="s">
        <v>144</v>
      </c>
      <c r="B16" s="3" t="s">
        <v>145</v>
      </c>
      <c r="C16" s="3" t="s">
        <v>139</v>
      </c>
      <c r="D16" s="3" t="s">
        <v>97</v>
      </c>
      <c r="E16" s="3" t="s">
        <v>146</v>
      </c>
      <c r="F16" s="2" t="s">
        <v>43</v>
      </c>
      <c r="G16" s="2" t="s">
        <v>147</v>
      </c>
    </row>
    <row r="17" customFormat="false" ht="15" hidden="false" customHeight="false" outlineLevel="0" collapsed="false">
      <c r="A17" s="4" t="s">
        <v>148</v>
      </c>
      <c r="B17" s="5" t="s">
        <v>149</v>
      </c>
      <c r="C17" s="5" t="s">
        <v>139</v>
      </c>
      <c r="D17" s="5" t="s">
        <v>97</v>
      </c>
      <c r="E17" s="5" t="s">
        <v>150</v>
      </c>
      <c r="F17" s="4" t="s">
        <v>43</v>
      </c>
      <c r="G17" s="4" t="s">
        <v>151</v>
      </c>
    </row>
    <row r="18" customFormat="false" ht="15" hidden="false" customHeight="false" outlineLevel="0" collapsed="false">
      <c r="A18" s="2" t="s">
        <v>152</v>
      </c>
      <c r="B18" s="3" t="s">
        <v>153</v>
      </c>
      <c r="C18" s="3" t="s">
        <v>154</v>
      </c>
      <c r="D18" s="3" t="s">
        <v>97</v>
      </c>
      <c r="E18" s="3" t="s">
        <v>129</v>
      </c>
      <c r="F18" s="2" t="s">
        <v>43</v>
      </c>
      <c r="G18" s="2" t="s">
        <v>155</v>
      </c>
    </row>
    <row r="19" customFormat="false" ht="15" hidden="false" customHeight="false" outlineLevel="0" collapsed="false">
      <c r="A19" s="4" t="s">
        <v>156</v>
      </c>
      <c r="B19" s="5" t="s">
        <v>157</v>
      </c>
      <c r="C19" s="5" t="s">
        <v>154</v>
      </c>
      <c r="D19" s="5" t="s">
        <v>158</v>
      </c>
      <c r="E19" s="5" t="s">
        <v>129</v>
      </c>
      <c r="F19" s="4" t="s">
        <v>43</v>
      </c>
      <c r="G19" s="4" t="s">
        <v>159</v>
      </c>
    </row>
    <row r="20" customFormat="false" ht="15" hidden="false" customHeight="false" outlineLevel="0" collapsed="false">
      <c r="A20" s="2" t="s">
        <v>160</v>
      </c>
      <c r="B20" s="3" t="s">
        <v>161</v>
      </c>
      <c r="C20" s="3" t="s">
        <v>162</v>
      </c>
      <c r="D20" s="3" t="s">
        <v>97</v>
      </c>
      <c r="E20" s="3" t="s">
        <v>129</v>
      </c>
      <c r="F20" s="2" t="s">
        <v>43</v>
      </c>
      <c r="G20" s="2"/>
    </row>
    <row r="21" customFormat="false" ht="15" hidden="false" customHeight="false" outlineLevel="0" collapsed="false">
      <c r="A21" s="4" t="s">
        <v>163</v>
      </c>
      <c r="B21" s="5" t="s">
        <v>164</v>
      </c>
      <c r="C21" s="5" t="s">
        <v>165</v>
      </c>
      <c r="D21" s="5" t="s">
        <v>97</v>
      </c>
      <c r="E21" s="5" t="s">
        <v>129</v>
      </c>
      <c r="F21" s="4" t="s">
        <v>43</v>
      </c>
      <c r="G21" s="4"/>
    </row>
    <row r="22" customFormat="false" ht="15" hidden="false" customHeight="false" outlineLevel="0" collapsed="false">
      <c r="A22" s="2" t="s">
        <v>166</v>
      </c>
      <c r="B22" s="3" t="s">
        <v>141</v>
      </c>
      <c r="C22" s="3" t="s">
        <v>142</v>
      </c>
      <c r="D22" s="3" t="s">
        <v>97</v>
      </c>
      <c r="E22" s="3" t="s">
        <v>129</v>
      </c>
      <c r="F22" s="2" t="s">
        <v>167</v>
      </c>
      <c r="G22" s="2" t="s">
        <v>168</v>
      </c>
    </row>
    <row r="23" customFormat="false" ht="15" hidden="false" customHeight="false" outlineLevel="0" collapsed="false">
      <c r="A23" s="4" t="s">
        <v>169</v>
      </c>
      <c r="B23" s="5" t="s">
        <v>133</v>
      </c>
      <c r="C23" s="5" t="s">
        <v>96</v>
      </c>
      <c r="D23" s="5" t="s">
        <v>97</v>
      </c>
      <c r="E23" s="5" t="s">
        <v>170</v>
      </c>
      <c r="F23" s="4" t="s">
        <v>171</v>
      </c>
      <c r="G23" s="4"/>
    </row>
    <row r="24" customFormat="false" ht="15" hidden="false" customHeight="false" outlineLevel="0" collapsed="false">
      <c r="A24" s="2" t="s">
        <v>172</v>
      </c>
      <c r="B24" s="3" t="s">
        <v>173</v>
      </c>
      <c r="C24" s="3" t="s">
        <v>96</v>
      </c>
      <c r="D24" s="3" t="s">
        <v>97</v>
      </c>
      <c r="E24" s="3" t="s">
        <v>129</v>
      </c>
      <c r="F24" s="2" t="s">
        <v>99</v>
      </c>
      <c r="G24" s="2"/>
    </row>
    <row r="25" customFormat="false" ht="15" hidden="false" customHeight="false" outlineLevel="0" collapsed="false">
      <c r="A25" s="4" t="s">
        <v>174</v>
      </c>
      <c r="B25" s="5" t="s">
        <v>175</v>
      </c>
      <c r="C25" s="5" t="s">
        <v>176</v>
      </c>
      <c r="D25" s="5" t="s">
        <v>97</v>
      </c>
      <c r="E25" s="5" t="s">
        <v>129</v>
      </c>
      <c r="F25" s="4" t="s">
        <v>99</v>
      </c>
      <c r="G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48"/>
  </cols>
  <sheetData>
    <row r="1" customFormat="false" ht="30" hidden="false" customHeight="true" outlineLevel="0" collapsed="false">
      <c r="A1" s="7" t="s">
        <v>177</v>
      </c>
      <c r="B1" s="7" t="s">
        <v>89</v>
      </c>
      <c r="C1" s="7" t="s">
        <v>90</v>
      </c>
      <c r="D1" s="7" t="s">
        <v>91</v>
      </c>
      <c r="E1" s="7" t="s">
        <v>178</v>
      </c>
      <c r="F1" s="7" t="s">
        <v>13</v>
      </c>
      <c r="G1" s="7" t="s">
        <v>179</v>
      </c>
    </row>
    <row r="2" customFormat="false" ht="15" hidden="false" customHeight="false" outlineLevel="0" collapsed="false">
      <c r="A2" s="2" t="s">
        <v>180</v>
      </c>
      <c r="B2" s="3" t="s">
        <v>181</v>
      </c>
      <c r="C2" s="3" t="s">
        <v>96</v>
      </c>
      <c r="D2" s="3" t="s">
        <v>182</v>
      </c>
      <c r="E2" s="2" t="s">
        <v>129</v>
      </c>
      <c r="F2" s="2" t="s">
        <v>183</v>
      </c>
      <c r="G2" s="2" t="s">
        <v>184</v>
      </c>
    </row>
    <row r="3" customFormat="false" ht="15" hidden="false" customHeight="false" outlineLevel="0" collapsed="false">
      <c r="A3" s="4" t="s">
        <v>185</v>
      </c>
      <c r="B3" s="5" t="s">
        <v>186</v>
      </c>
      <c r="C3" s="5" t="s">
        <v>187</v>
      </c>
      <c r="D3" s="5" t="s">
        <v>182</v>
      </c>
      <c r="E3" s="4" t="s">
        <v>129</v>
      </c>
      <c r="F3" s="4" t="s">
        <v>188</v>
      </c>
      <c r="G3" s="4" t="s">
        <v>189</v>
      </c>
    </row>
    <row r="4" customFormat="false" ht="15" hidden="false" customHeight="false" outlineLevel="0" collapsed="false">
      <c r="A4" s="2" t="s">
        <v>190</v>
      </c>
      <c r="B4" s="3" t="s">
        <v>191</v>
      </c>
      <c r="C4" s="3" t="s">
        <v>192</v>
      </c>
      <c r="D4" s="3" t="s">
        <v>182</v>
      </c>
      <c r="E4" s="2" t="s">
        <v>193</v>
      </c>
      <c r="F4" s="2" t="s">
        <v>194</v>
      </c>
      <c r="G4" s="2" t="s">
        <v>195</v>
      </c>
    </row>
    <row r="5" customFormat="false" ht="22.35" hidden="false" customHeight="false" outlineLevel="0" collapsed="false">
      <c r="A5" s="4" t="s">
        <v>196</v>
      </c>
      <c r="B5" s="5" t="s">
        <v>197</v>
      </c>
      <c r="C5" s="5" t="s">
        <v>198</v>
      </c>
      <c r="D5" s="5" t="s">
        <v>182</v>
      </c>
      <c r="E5" s="4" t="s">
        <v>199</v>
      </c>
      <c r="F5" s="4" t="s">
        <v>200</v>
      </c>
      <c r="G5" s="4" t="s">
        <v>201</v>
      </c>
    </row>
    <row r="6" customFormat="false" ht="15" hidden="false" customHeight="false" outlineLevel="0" collapsed="false">
      <c r="A6" s="2" t="s">
        <v>202</v>
      </c>
      <c r="B6" s="3" t="s">
        <v>203</v>
      </c>
      <c r="C6" s="3" t="s">
        <v>96</v>
      </c>
      <c r="D6" s="3" t="s">
        <v>182</v>
      </c>
      <c r="E6" s="2" t="s">
        <v>129</v>
      </c>
      <c r="F6" s="2" t="s">
        <v>204</v>
      </c>
      <c r="G6" s="2" t="s">
        <v>205</v>
      </c>
    </row>
    <row r="7" customFormat="false" ht="22.35" hidden="false" customHeight="false" outlineLevel="0" collapsed="false">
      <c r="A7" s="4" t="s">
        <v>206</v>
      </c>
      <c r="B7" s="5" t="s">
        <v>207</v>
      </c>
      <c r="C7" s="5" t="s">
        <v>96</v>
      </c>
      <c r="D7" s="5" t="s">
        <v>208</v>
      </c>
      <c r="E7" s="4" t="s">
        <v>209</v>
      </c>
      <c r="F7" s="4" t="s">
        <v>210</v>
      </c>
      <c r="G7" s="4" t="s">
        <v>211</v>
      </c>
    </row>
    <row r="8" customFormat="false" ht="22.35" hidden="false" customHeight="false" outlineLevel="0" collapsed="false">
      <c r="A8" s="2" t="s">
        <v>212</v>
      </c>
      <c r="B8" s="3" t="s">
        <v>213</v>
      </c>
      <c r="C8" s="3" t="s">
        <v>214</v>
      </c>
      <c r="D8" s="3" t="s">
        <v>182</v>
      </c>
      <c r="E8" s="2" t="s">
        <v>215</v>
      </c>
      <c r="F8" s="2" t="s">
        <v>216</v>
      </c>
      <c r="G8" s="2" t="s">
        <v>217</v>
      </c>
    </row>
    <row r="9" customFormat="false" ht="32.8" hidden="false" customHeight="false" outlineLevel="0" collapsed="false">
      <c r="A9" s="4" t="s">
        <v>218</v>
      </c>
      <c r="B9" s="5" t="s">
        <v>219</v>
      </c>
      <c r="C9" s="5" t="s">
        <v>214</v>
      </c>
      <c r="D9" s="5" t="s">
        <v>182</v>
      </c>
      <c r="E9" s="4" t="s">
        <v>215</v>
      </c>
      <c r="F9" s="4" t="s">
        <v>216</v>
      </c>
      <c r="G9" s="4" t="s">
        <v>220</v>
      </c>
    </row>
    <row r="10" customFormat="false" ht="15" hidden="false" customHeight="false" outlineLevel="0" collapsed="false">
      <c r="A10" s="2" t="s">
        <v>221</v>
      </c>
      <c r="B10" s="3" t="s">
        <v>222</v>
      </c>
      <c r="C10" s="3" t="s">
        <v>223</v>
      </c>
      <c r="D10" s="3" t="s">
        <v>182</v>
      </c>
      <c r="E10" s="2" t="s">
        <v>129</v>
      </c>
      <c r="F10" s="2" t="s">
        <v>224</v>
      </c>
      <c r="G10" s="2" t="s">
        <v>225</v>
      </c>
    </row>
    <row r="11" customFormat="false" ht="15" hidden="false" customHeight="false" outlineLevel="0" collapsed="false">
      <c r="A11" s="4" t="s">
        <v>226</v>
      </c>
      <c r="B11" s="5" t="s">
        <v>227</v>
      </c>
      <c r="C11" s="5" t="s">
        <v>223</v>
      </c>
      <c r="D11" s="5" t="s">
        <v>208</v>
      </c>
      <c r="E11" s="4" t="s">
        <v>129</v>
      </c>
      <c r="F11" s="4" t="s">
        <v>228</v>
      </c>
      <c r="G11" s="4" t="s">
        <v>229</v>
      </c>
    </row>
    <row r="12" customFormat="false" ht="15" hidden="false" customHeight="false" outlineLevel="0" collapsed="false">
      <c r="A12" s="2" t="s">
        <v>230</v>
      </c>
      <c r="B12" s="3" t="s">
        <v>231</v>
      </c>
      <c r="C12" s="3" t="s">
        <v>232</v>
      </c>
      <c r="D12" s="3" t="s">
        <v>233</v>
      </c>
      <c r="E12" s="2" t="s">
        <v>234</v>
      </c>
      <c r="F12" s="2" t="s">
        <v>171</v>
      </c>
      <c r="G12" s="2" t="s">
        <v>235</v>
      </c>
    </row>
    <row r="13" customFormat="false" ht="32.8" hidden="false" customHeight="false" outlineLevel="0" collapsed="false">
      <c r="A13" s="4" t="s">
        <v>236</v>
      </c>
      <c r="B13" s="5" t="s">
        <v>237</v>
      </c>
      <c r="C13" s="5" t="s">
        <v>238</v>
      </c>
      <c r="D13" s="5" t="s">
        <v>182</v>
      </c>
      <c r="E13" s="4" t="s">
        <v>129</v>
      </c>
      <c r="F13" s="4" t="s">
        <v>239</v>
      </c>
      <c r="G13" s="4" t="s">
        <v>240</v>
      </c>
    </row>
    <row r="14" customFormat="false" ht="15" hidden="false" customHeight="false" outlineLevel="0" collapsed="false">
      <c r="A14" s="2" t="s">
        <v>241</v>
      </c>
      <c r="B14" s="3" t="s">
        <v>242</v>
      </c>
      <c r="C14" s="3" t="s">
        <v>243</v>
      </c>
      <c r="D14" s="3" t="s">
        <v>182</v>
      </c>
      <c r="E14" s="2" t="s">
        <v>129</v>
      </c>
      <c r="F14" s="2" t="s">
        <v>244</v>
      </c>
      <c r="G14" s="2" t="s">
        <v>245</v>
      </c>
    </row>
    <row r="15" customFormat="false" ht="22.35" hidden="false" customHeight="false" outlineLevel="0" collapsed="false">
      <c r="A15" s="4" t="s">
        <v>246</v>
      </c>
      <c r="B15" s="5" t="s">
        <v>133</v>
      </c>
      <c r="C15" s="5" t="s">
        <v>247</v>
      </c>
      <c r="D15" s="5" t="s">
        <v>97</v>
      </c>
      <c r="E15" s="4" t="s">
        <v>248</v>
      </c>
      <c r="F15" s="4" t="s">
        <v>43</v>
      </c>
      <c r="G15" s="4" t="s">
        <v>249</v>
      </c>
    </row>
    <row r="16" customFormat="false" ht="15" hidden="false" customHeight="false" outlineLevel="0" collapsed="false">
      <c r="A16" s="2" t="s">
        <v>250</v>
      </c>
      <c r="B16" s="3" t="s">
        <v>251</v>
      </c>
      <c r="C16" s="3" t="s">
        <v>214</v>
      </c>
      <c r="D16" s="3" t="s">
        <v>182</v>
      </c>
      <c r="E16" s="2" t="s">
        <v>252</v>
      </c>
      <c r="F16" s="2" t="s">
        <v>253</v>
      </c>
      <c r="G16" s="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22"/>
  </cols>
  <sheetData>
    <row r="1" customFormat="false" ht="39.75" hidden="false" customHeight="true" outlineLevel="0" collapsed="false">
      <c r="A1" s="8" t="s">
        <v>255</v>
      </c>
      <c r="B1" s="8" t="s">
        <v>256</v>
      </c>
      <c r="C1" s="8" t="s">
        <v>257</v>
      </c>
      <c r="D1" s="8" t="s">
        <v>258</v>
      </c>
      <c r="E1" s="8" t="s">
        <v>259</v>
      </c>
      <c r="F1" s="8" t="s">
        <v>260</v>
      </c>
      <c r="G1" s="8" t="s">
        <v>261</v>
      </c>
      <c r="H1" s="8" t="s">
        <v>262</v>
      </c>
    </row>
    <row r="2" customFormat="false" ht="22.35" hidden="false" customHeight="false" outlineLevel="0" collapsed="false">
      <c r="A2" s="2" t="s">
        <v>263</v>
      </c>
      <c r="B2" s="2" t="s">
        <v>264</v>
      </c>
      <c r="C2" s="3" t="n">
        <v>85</v>
      </c>
      <c r="D2" s="3" t="n">
        <v>90</v>
      </c>
      <c r="E2" s="3" t="s">
        <v>265</v>
      </c>
      <c r="F2" s="2" t="s">
        <v>266</v>
      </c>
      <c r="G2" s="2" t="s">
        <v>267</v>
      </c>
      <c r="H2" s="2" t="s">
        <v>268</v>
      </c>
    </row>
    <row r="3" customFormat="false" ht="15" hidden="false" customHeight="false" outlineLevel="0" collapsed="false">
      <c r="A3" s="4" t="s">
        <v>269</v>
      </c>
      <c r="B3" s="4" t="s">
        <v>264</v>
      </c>
      <c r="C3" s="5" t="n">
        <v>80</v>
      </c>
      <c r="D3" s="5" t="n">
        <v>88</v>
      </c>
      <c r="E3" s="5" t="s">
        <v>270</v>
      </c>
      <c r="F3" s="4" t="s">
        <v>271</v>
      </c>
      <c r="G3" s="4" t="s">
        <v>272</v>
      </c>
      <c r="H3" s="4" t="s">
        <v>273</v>
      </c>
    </row>
    <row r="4" customFormat="false" ht="15" hidden="false" customHeight="false" outlineLevel="0" collapsed="false">
      <c r="A4" s="2" t="s">
        <v>274</v>
      </c>
      <c r="B4" s="2" t="s">
        <v>264</v>
      </c>
      <c r="C4" s="3" t="n">
        <v>75</v>
      </c>
      <c r="D4" s="3" t="n">
        <v>85</v>
      </c>
      <c r="E4" s="3" t="s">
        <v>275</v>
      </c>
      <c r="F4" s="2" t="s">
        <v>276</v>
      </c>
      <c r="G4" s="2" t="s">
        <v>85</v>
      </c>
      <c r="H4" s="2" t="s">
        <v>273</v>
      </c>
    </row>
    <row r="5" customFormat="false" ht="22.35" hidden="false" customHeight="false" outlineLevel="0" collapsed="false">
      <c r="A5" s="4" t="s">
        <v>277</v>
      </c>
      <c r="B5" s="4" t="s">
        <v>264</v>
      </c>
      <c r="C5" s="5" t="n">
        <v>65</v>
      </c>
      <c r="D5" s="5" t="n">
        <v>82</v>
      </c>
      <c r="E5" s="5" t="s">
        <v>270</v>
      </c>
      <c r="F5" s="4" t="s">
        <v>278</v>
      </c>
      <c r="G5" s="4" t="s">
        <v>279</v>
      </c>
      <c r="H5" s="4" t="s">
        <v>280</v>
      </c>
    </row>
    <row r="6" customFormat="false" ht="15" hidden="false" customHeight="false" outlineLevel="0" collapsed="false">
      <c r="A6" s="2" t="s">
        <v>281</v>
      </c>
      <c r="B6" s="2" t="s">
        <v>264</v>
      </c>
      <c r="C6" s="3" t="n">
        <v>72</v>
      </c>
      <c r="D6" s="3" t="n">
        <v>87</v>
      </c>
      <c r="E6" s="3" t="s">
        <v>265</v>
      </c>
      <c r="F6" s="2" t="s">
        <v>29</v>
      </c>
      <c r="G6" s="2" t="s">
        <v>282</v>
      </c>
      <c r="H6" s="2" t="s">
        <v>273</v>
      </c>
    </row>
    <row r="7" customFormat="false" ht="15" hidden="false" customHeight="false" outlineLevel="0" collapsed="false">
      <c r="A7" s="4" t="s">
        <v>283</v>
      </c>
      <c r="B7" s="4" t="s">
        <v>264</v>
      </c>
      <c r="C7" s="5" t="n">
        <v>60</v>
      </c>
      <c r="D7" s="5" t="n">
        <v>75</v>
      </c>
      <c r="E7" s="5" t="s">
        <v>270</v>
      </c>
      <c r="F7" s="4" t="s">
        <v>284</v>
      </c>
      <c r="G7" s="4" t="s">
        <v>285</v>
      </c>
      <c r="H7" s="4" t="s">
        <v>286</v>
      </c>
    </row>
    <row r="8" customFormat="false" ht="15" hidden="false" customHeight="false" outlineLevel="0" collapsed="false">
      <c r="A8" s="2" t="s">
        <v>287</v>
      </c>
      <c r="B8" s="2" t="s">
        <v>264</v>
      </c>
      <c r="C8" s="3" t="n">
        <v>70</v>
      </c>
      <c r="D8" s="3" t="n">
        <v>82</v>
      </c>
      <c r="E8" s="3" t="s">
        <v>270</v>
      </c>
      <c r="F8" s="2" t="s">
        <v>288</v>
      </c>
      <c r="G8" s="2" t="s">
        <v>289</v>
      </c>
      <c r="H8" s="2" t="s">
        <v>273</v>
      </c>
    </row>
    <row r="9" customFormat="false" ht="15" hidden="false" customHeight="false" outlineLevel="0" collapsed="false">
      <c r="A9" s="4" t="s">
        <v>290</v>
      </c>
      <c r="B9" s="4" t="s">
        <v>264</v>
      </c>
      <c r="C9" s="5" t="n">
        <v>75</v>
      </c>
      <c r="D9" s="5" t="n">
        <v>88</v>
      </c>
      <c r="E9" s="5" t="s">
        <v>275</v>
      </c>
      <c r="F9" s="4" t="s">
        <v>291</v>
      </c>
      <c r="G9" s="4" t="s">
        <v>292</v>
      </c>
      <c r="H9" s="4" t="s">
        <v>293</v>
      </c>
    </row>
    <row r="10" customFormat="false" ht="15" hidden="false" customHeight="false" outlineLevel="0" collapsed="false">
      <c r="A10" s="2" t="s">
        <v>294</v>
      </c>
      <c r="B10" s="2" t="s">
        <v>264</v>
      </c>
      <c r="C10" s="3" t="n">
        <v>80</v>
      </c>
      <c r="D10" s="3" t="n">
        <v>90</v>
      </c>
      <c r="E10" s="3" t="s">
        <v>270</v>
      </c>
      <c r="F10" s="2" t="s">
        <v>295</v>
      </c>
      <c r="G10" s="2" t="s">
        <v>296</v>
      </c>
      <c r="H10" s="2" t="s">
        <v>293</v>
      </c>
    </row>
    <row r="11" customFormat="false" ht="15" hidden="false" customHeight="false" outlineLevel="0" collapsed="false">
      <c r="A11" s="4" t="s">
        <v>297</v>
      </c>
      <c r="B11" s="4" t="s">
        <v>264</v>
      </c>
      <c r="C11" s="5" t="n">
        <v>50</v>
      </c>
      <c r="D11" s="5" t="n">
        <v>65</v>
      </c>
      <c r="E11" s="5" t="s">
        <v>275</v>
      </c>
      <c r="F11" s="4" t="s">
        <v>298</v>
      </c>
      <c r="G11" s="4" t="s">
        <v>285</v>
      </c>
      <c r="H11" s="4" t="s">
        <v>286</v>
      </c>
    </row>
    <row r="12" customFormat="false" ht="22.35" hidden="false" customHeight="false" outlineLevel="0" collapsed="false">
      <c r="A12" s="2" t="s">
        <v>299</v>
      </c>
      <c r="B12" s="2" t="s">
        <v>300</v>
      </c>
      <c r="C12" s="3" t="n">
        <v>35</v>
      </c>
      <c r="D12" s="3" t="n">
        <v>45</v>
      </c>
      <c r="E12" s="3" t="s">
        <v>275</v>
      </c>
      <c r="F12" s="2" t="s">
        <v>301</v>
      </c>
      <c r="G12" s="2" t="s">
        <v>302</v>
      </c>
      <c r="H12" s="2" t="s">
        <v>303</v>
      </c>
    </row>
    <row r="13" customFormat="false" ht="15" hidden="false" customHeight="false" outlineLevel="0" collapsed="false">
      <c r="A13" s="4" t="s">
        <v>304</v>
      </c>
      <c r="B13" s="4" t="s">
        <v>300</v>
      </c>
      <c r="C13" s="5" t="n">
        <v>55</v>
      </c>
      <c r="D13" s="5" t="n">
        <v>70</v>
      </c>
      <c r="E13" s="5" t="s">
        <v>275</v>
      </c>
      <c r="F13" s="4" t="s">
        <v>305</v>
      </c>
      <c r="G13" s="4" t="s">
        <v>306</v>
      </c>
      <c r="H13" s="4" t="s">
        <v>307</v>
      </c>
    </row>
    <row r="14" customFormat="false" ht="15" hidden="false" customHeight="false" outlineLevel="0" collapsed="false">
      <c r="A14" s="2" t="s">
        <v>308</v>
      </c>
      <c r="B14" s="2" t="s">
        <v>300</v>
      </c>
      <c r="C14" s="3" t="n">
        <v>60</v>
      </c>
      <c r="D14" s="3" t="n">
        <v>78</v>
      </c>
      <c r="E14" s="3" t="s">
        <v>270</v>
      </c>
      <c r="F14" s="2" t="s">
        <v>278</v>
      </c>
      <c r="G14" s="2" t="s">
        <v>309</v>
      </c>
      <c r="H14" s="2" t="s">
        <v>310</v>
      </c>
    </row>
    <row r="15" customFormat="false" ht="15" hidden="false" customHeight="false" outlineLevel="0" collapsed="false">
      <c r="A15" s="4" t="s">
        <v>311</v>
      </c>
      <c r="B15" s="4" t="s">
        <v>300</v>
      </c>
      <c r="C15" s="5" t="n">
        <v>55</v>
      </c>
      <c r="D15" s="5" t="n">
        <v>72</v>
      </c>
      <c r="E15" s="5" t="s">
        <v>270</v>
      </c>
      <c r="F15" s="4" t="s">
        <v>312</v>
      </c>
      <c r="G15" s="4" t="s">
        <v>282</v>
      </c>
      <c r="H15" s="4" t="s">
        <v>313</v>
      </c>
    </row>
    <row r="16" customFormat="false" ht="15" hidden="false" customHeight="false" outlineLevel="0" collapsed="false">
      <c r="A16" s="2" t="s">
        <v>314</v>
      </c>
      <c r="B16" s="2" t="s">
        <v>300</v>
      </c>
      <c r="C16" s="3" t="n">
        <v>50</v>
      </c>
      <c r="D16" s="3" t="n">
        <v>65</v>
      </c>
      <c r="E16" s="3" t="s">
        <v>275</v>
      </c>
      <c r="F16" s="2" t="s">
        <v>315</v>
      </c>
      <c r="G16" s="2" t="s">
        <v>272</v>
      </c>
      <c r="H16" s="2" t="s">
        <v>316</v>
      </c>
    </row>
    <row r="17" customFormat="false" ht="15" hidden="false" customHeight="false" outlineLevel="0" collapsed="false">
      <c r="A17" s="4" t="s">
        <v>317</v>
      </c>
      <c r="B17" s="4" t="s">
        <v>318</v>
      </c>
      <c r="C17" s="5" t="n">
        <v>15</v>
      </c>
      <c r="D17" s="5" t="n">
        <v>20</v>
      </c>
      <c r="E17" s="5" t="s">
        <v>319</v>
      </c>
      <c r="F17" s="4" t="s">
        <v>320</v>
      </c>
      <c r="G17" s="4" t="s">
        <v>272</v>
      </c>
      <c r="H17" s="4" t="s">
        <v>321</v>
      </c>
    </row>
    <row r="18" customFormat="false" ht="15" hidden="false" customHeight="false" outlineLevel="0" collapsed="false">
      <c r="A18" s="2" t="s">
        <v>322</v>
      </c>
      <c r="B18" s="2" t="s">
        <v>318</v>
      </c>
      <c r="C18" s="3" t="n">
        <v>10</v>
      </c>
      <c r="D18" s="3" t="n">
        <v>12</v>
      </c>
      <c r="E18" s="3" t="s">
        <v>275</v>
      </c>
      <c r="F18" s="2" t="s">
        <v>40</v>
      </c>
      <c r="G18" s="2" t="s">
        <v>323</v>
      </c>
      <c r="H18" s="2" t="s">
        <v>324</v>
      </c>
    </row>
    <row r="19" customFormat="false" ht="15" hidden="false" customHeight="false" outlineLevel="0" collapsed="false">
      <c r="A19" s="4" t="s">
        <v>325</v>
      </c>
      <c r="B19" s="4" t="s">
        <v>318</v>
      </c>
      <c r="C19" s="5" t="n">
        <v>8</v>
      </c>
      <c r="D19" s="5" t="n">
        <v>10</v>
      </c>
      <c r="E19" s="5" t="s">
        <v>319</v>
      </c>
      <c r="F19" s="4" t="s">
        <v>326</v>
      </c>
      <c r="G19" s="4" t="s">
        <v>85</v>
      </c>
      <c r="H19" s="4" t="s">
        <v>327</v>
      </c>
    </row>
    <row r="20" customFormat="false" ht="15" hidden="false" customHeight="false" outlineLevel="0" collapsed="false">
      <c r="A20" s="2" t="s">
        <v>328</v>
      </c>
      <c r="B20" s="2" t="s">
        <v>318</v>
      </c>
      <c r="C20" s="3" t="n">
        <v>12</v>
      </c>
      <c r="D20" s="3" t="n">
        <v>15</v>
      </c>
      <c r="E20" s="3" t="s">
        <v>319</v>
      </c>
      <c r="F20" s="2" t="s">
        <v>44</v>
      </c>
      <c r="G20" s="2" t="s">
        <v>85</v>
      </c>
      <c r="H20" s="2" t="s">
        <v>324</v>
      </c>
    </row>
    <row r="21" customFormat="false" ht="15" hidden="false" customHeight="false" outlineLevel="0" collapsed="false">
      <c r="A21" s="4" t="s">
        <v>329</v>
      </c>
      <c r="B21" s="4" t="s">
        <v>318</v>
      </c>
      <c r="C21" s="5" t="n">
        <v>5</v>
      </c>
      <c r="D21" s="5" t="n">
        <v>8</v>
      </c>
      <c r="E21" s="5" t="s">
        <v>330</v>
      </c>
      <c r="F21" s="4" t="s">
        <v>331</v>
      </c>
      <c r="G21" s="4" t="s">
        <v>332</v>
      </c>
      <c r="H21" s="4" t="s">
        <v>333</v>
      </c>
    </row>
    <row r="22" customFormat="false" ht="15" hidden="false" customHeight="false" outlineLevel="0" collapsed="false">
      <c r="A22" s="2" t="s">
        <v>334</v>
      </c>
      <c r="B22" s="2" t="s">
        <v>318</v>
      </c>
      <c r="C22" s="3" t="n">
        <v>18</v>
      </c>
      <c r="D22" s="3" t="n">
        <v>25</v>
      </c>
      <c r="E22" s="3" t="s">
        <v>319</v>
      </c>
      <c r="F22" s="2" t="s">
        <v>335</v>
      </c>
      <c r="G22" s="2" t="s">
        <v>272</v>
      </c>
      <c r="H22" s="2" t="s">
        <v>336</v>
      </c>
    </row>
    <row r="23" customFormat="false" ht="15" hidden="false" customHeight="false" outlineLevel="0" collapsed="false">
      <c r="A23" s="4" t="s">
        <v>337</v>
      </c>
      <c r="B23" s="4" t="s">
        <v>318</v>
      </c>
      <c r="C23" s="5" t="n">
        <v>10</v>
      </c>
      <c r="D23" s="5" t="n">
        <v>15</v>
      </c>
      <c r="E23" s="5" t="s">
        <v>319</v>
      </c>
      <c r="F23" s="4" t="s">
        <v>338</v>
      </c>
      <c r="G23" s="4" t="s">
        <v>339</v>
      </c>
      <c r="H23" s="4" t="s">
        <v>324</v>
      </c>
    </row>
    <row r="24" customFormat="false" ht="22.35" hidden="false" customHeight="false" outlineLevel="0" collapsed="false">
      <c r="A24" s="2" t="s">
        <v>340</v>
      </c>
      <c r="B24" s="2" t="s">
        <v>341</v>
      </c>
      <c r="C24" s="3" t="n">
        <v>5</v>
      </c>
      <c r="D24" s="3" t="n">
        <v>8</v>
      </c>
      <c r="E24" s="3" t="s">
        <v>342</v>
      </c>
      <c r="F24" s="2" t="s">
        <v>343</v>
      </c>
      <c r="G24" s="2" t="s">
        <v>85</v>
      </c>
      <c r="H24" s="2" t="s">
        <v>344</v>
      </c>
    </row>
    <row r="25" customFormat="false" ht="22.35" hidden="false" customHeight="false" outlineLevel="0" collapsed="false">
      <c r="A25" s="4" t="s">
        <v>345</v>
      </c>
      <c r="B25" s="4" t="s">
        <v>341</v>
      </c>
      <c r="C25" s="5" t="n">
        <v>6</v>
      </c>
      <c r="D25" s="5" t="n">
        <v>9</v>
      </c>
      <c r="E25" s="5" t="s">
        <v>342</v>
      </c>
      <c r="F25" s="4" t="s">
        <v>82</v>
      </c>
      <c r="G25" s="4" t="s">
        <v>85</v>
      </c>
      <c r="H25" s="4" t="s">
        <v>344</v>
      </c>
    </row>
    <row r="26" customFormat="false" ht="15" hidden="false" customHeight="false" outlineLevel="0" collapsed="false">
      <c r="A26" s="2" t="s">
        <v>346</v>
      </c>
      <c r="B26" s="2" t="s">
        <v>347</v>
      </c>
      <c r="C26" s="3" t="n">
        <v>20</v>
      </c>
      <c r="D26" s="3" t="n">
        <v>22</v>
      </c>
      <c r="E26" s="3" t="s">
        <v>330</v>
      </c>
      <c r="F26" s="2" t="s">
        <v>348</v>
      </c>
      <c r="G26" s="2" t="s">
        <v>349</v>
      </c>
      <c r="H26" s="2" t="s">
        <v>350</v>
      </c>
    </row>
    <row r="27" customFormat="false" ht="15" hidden="false" customHeight="false" outlineLevel="0" collapsed="false">
      <c r="A27" s="4" t="s">
        <v>351</v>
      </c>
      <c r="B27" s="4" t="s">
        <v>347</v>
      </c>
      <c r="C27" s="5" t="n">
        <v>15</v>
      </c>
      <c r="D27" s="5" t="n">
        <v>18</v>
      </c>
      <c r="E27" s="5" t="s">
        <v>352</v>
      </c>
      <c r="F27" s="4" t="s">
        <v>353</v>
      </c>
      <c r="G27" s="4" t="s">
        <v>354</v>
      </c>
      <c r="H27" s="4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45"/>
  </cols>
  <sheetData>
    <row r="1" customFormat="false" ht="30" hidden="false" customHeight="true" outlineLevel="0" collapsed="false">
      <c r="A1" s="9" t="s">
        <v>88</v>
      </c>
      <c r="B1" s="9" t="s">
        <v>89</v>
      </c>
      <c r="C1" s="9" t="s">
        <v>90</v>
      </c>
      <c r="D1" s="9" t="s">
        <v>356</v>
      </c>
      <c r="E1" s="9" t="s">
        <v>357</v>
      </c>
      <c r="F1" s="9" t="s">
        <v>358</v>
      </c>
      <c r="G1" s="9" t="s">
        <v>359</v>
      </c>
    </row>
    <row r="2" customFormat="false" ht="15" hidden="false" customHeight="false" outlineLevel="0" collapsed="false">
      <c r="A2" s="2" t="s">
        <v>360</v>
      </c>
      <c r="B2" s="3" t="s">
        <v>361</v>
      </c>
      <c r="C2" s="3" t="s">
        <v>96</v>
      </c>
      <c r="D2" s="3" t="s">
        <v>362</v>
      </c>
      <c r="E2" s="3" t="s">
        <v>363</v>
      </c>
      <c r="F2" s="3" t="s">
        <v>364</v>
      </c>
      <c r="G2" s="2" t="s">
        <v>365</v>
      </c>
    </row>
    <row r="3" customFormat="false" ht="15" hidden="false" customHeight="false" outlineLevel="0" collapsed="false">
      <c r="A3" s="4" t="s">
        <v>366</v>
      </c>
      <c r="B3" s="5" t="s">
        <v>367</v>
      </c>
      <c r="C3" s="5" t="s">
        <v>96</v>
      </c>
      <c r="D3" s="5" t="s">
        <v>128</v>
      </c>
      <c r="E3" s="5" t="s">
        <v>363</v>
      </c>
      <c r="F3" s="5" t="s">
        <v>339</v>
      </c>
      <c r="G3" s="4" t="s">
        <v>368</v>
      </c>
    </row>
    <row r="4" customFormat="false" ht="15" hidden="false" customHeight="false" outlineLevel="0" collapsed="false">
      <c r="A4" s="2" t="s">
        <v>369</v>
      </c>
      <c r="B4" s="3" t="s">
        <v>370</v>
      </c>
      <c r="C4" s="3" t="s">
        <v>96</v>
      </c>
      <c r="D4" s="3" t="s">
        <v>182</v>
      </c>
      <c r="E4" s="3" t="s">
        <v>371</v>
      </c>
      <c r="F4" s="3" t="s">
        <v>372</v>
      </c>
      <c r="G4" s="2" t="s">
        <v>373</v>
      </c>
    </row>
    <row r="5" customFormat="false" ht="15" hidden="false" customHeight="false" outlineLevel="0" collapsed="false">
      <c r="A5" s="4" t="s">
        <v>374</v>
      </c>
      <c r="B5" s="5" t="s">
        <v>375</v>
      </c>
      <c r="C5" s="5" t="s">
        <v>96</v>
      </c>
      <c r="D5" s="5" t="s">
        <v>376</v>
      </c>
      <c r="E5" s="5" t="s">
        <v>363</v>
      </c>
      <c r="F5" s="5" t="s">
        <v>272</v>
      </c>
      <c r="G5" s="4" t="s">
        <v>159</v>
      </c>
    </row>
    <row r="6" customFormat="false" ht="15" hidden="false" customHeight="false" outlineLevel="0" collapsed="false">
      <c r="A6" s="2" t="s">
        <v>377</v>
      </c>
      <c r="B6" s="3" t="s">
        <v>378</v>
      </c>
      <c r="C6" s="3" t="s">
        <v>96</v>
      </c>
      <c r="D6" s="3" t="s">
        <v>379</v>
      </c>
      <c r="E6" s="3" t="s">
        <v>363</v>
      </c>
      <c r="F6" s="3" t="s">
        <v>306</v>
      </c>
      <c r="G6" s="2" t="s">
        <v>380</v>
      </c>
    </row>
    <row r="7" customFormat="false" ht="15" hidden="false" customHeight="false" outlineLevel="0" collapsed="false">
      <c r="A7" s="4" t="s">
        <v>381</v>
      </c>
      <c r="B7" s="5" t="s">
        <v>382</v>
      </c>
      <c r="C7" s="5" t="s">
        <v>96</v>
      </c>
      <c r="D7" s="5" t="s">
        <v>379</v>
      </c>
      <c r="E7" s="5" t="s">
        <v>363</v>
      </c>
      <c r="F7" s="5" t="s">
        <v>272</v>
      </c>
      <c r="G7" s="4" t="s">
        <v>383</v>
      </c>
    </row>
    <row r="8" customFormat="false" ht="15" hidden="false" customHeight="false" outlineLevel="0" collapsed="false">
      <c r="A8" s="2" t="s">
        <v>384</v>
      </c>
      <c r="B8" s="3" t="s">
        <v>370</v>
      </c>
      <c r="C8" s="3" t="s">
        <v>96</v>
      </c>
      <c r="D8" s="3" t="s">
        <v>379</v>
      </c>
      <c r="E8" s="3" t="s">
        <v>363</v>
      </c>
      <c r="F8" s="3" t="s">
        <v>272</v>
      </c>
      <c r="G8" s="2" t="s">
        <v>385</v>
      </c>
    </row>
    <row r="9" customFormat="false" ht="15" hidden="false" customHeight="false" outlineLevel="0" collapsed="false">
      <c r="A9" s="4" t="s">
        <v>386</v>
      </c>
      <c r="B9" s="5" t="s">
        <v>387</v>
      </c>
      <c r="C9" s="5" t="s">
        <v>176</v>
      </c>
      <c r="D9" s="5" t="s">
        <v>388</v>
      </c>
      <c r="E9" s="5" t="s">
        <v>363</v>
      </c>
      <c r="F9" s="5" t="s">
        <v>389</v>
      </c>
      <c r="G9" s="4" t="s">
        <v>390</v>
      </c>
    </row>
    <row r="10" customFormat="false" ht="15" hidden="false" customHeight="false" outlineLevel="0" collapsed="false">
      <c r="A10" s="2" t="s">
        <v>391</v>
      </c>
      <c r="B10" s="3" t="s">
        <v>370</v>
      </c>
      <c r="C10" s="3" t="s">
        <v>96</v>
      </c>
      <c r="D10" s="3" t="s">
        <v>97</v>
      </c>
      <c r="E10" s="3" t="s">
        <v>363</v>
      </c>
      <c r="F10" s="3" t="s">
        <v>392</v>
      </c>
      <c r="G10" s="2" t="s">
        <v>393</v>
      </c>
    </row>
    <row r="11" customFormat="false" ht="15" hidden="false" customHeight="false" outlineLevel="0" collapsed="false">
      <c r="A11" s="4" t="s">
        <v>394</v>
      </c>
      <c r="B11" s="5" t="s">
        <v>186</v>
      </c>
      <c r="C11" s="5" t="s">
        <v>96</v>
      </c>
      <c r="D11" s="5" t="s">
        <v>182</v>
      </c>
      <c r="E11" s="5" t="s">
        <v>363</v>
      </c>
      <c r="F11" s="5" t="s">
        <v>395</v>
      </c>
      <c r="G11" s="4" t="s">
        <v>396</v>
      </c>
    </row>
    <row r="12" customFormat="false" ht="15" hidden="false" customHeight="false" outlineLevel="0" collapsed="false">
      <c r="A12" s="2" t="s">
        <v>397</v>
      </c>
      <c r="B12" s="3" t="s">
        <v>398</v>
      </c>
      <c r="C12" s="3" t="s">
        <v>96</v>
      </c>
      <c r="D12" s="3" t="s">
        <v>182</v>
      </c>
      <c r="E12" s="3" t="s">
        <v>182</v>
      </c>
      <c r="F12" s="3" t="s">
        <v>399</v>
      </c>
      <c r="G12" s="2" t="s">
        <v>400</v>
      </c>
    </row>
    <row r="13" customFormat="false" ht="15" hidden="false" customHeight="false" outlineLevel="0" collapsed="false">
      <c r="A13" s="4" t="s">
        <v>401</v>
      </c>
      <c r="B13" s="5" t="s">
        <v>402</v>
      </c>
      <c r="C13" s="5" t="s">
        <v>176</v>
      </c>
      <c r="D13" s="5" t="s">
        <v>182</v>
      </c>
      <c r="E13" s="5" t="s">
        <v>363</v>
      </c>
      <c r="F13" s="5" t="s">
        <v>403</v>
      </c>
      <c r="G13" s="4" t="s">
        <v>404</v>
      </c>
    </row>
    <row r="14" customFormat="false" ht="15" hidden="false" customHeight="false" outlineLevel="0" collapsed="false">
      <c r="A14" s="2" t="s">
        <v>405</v>
      </c>
      <c r="B14" s="3" t="s">
        <v>406</v>
      </c>
      <c r="C14" s="3" t="s">
        <v>176</v>
      </c>
      <c r="D14" s="3" t="s">
        <v>182</v>
      </c>
      <c r="E14" s="3" t="s">
        <v>363</v>
      </c>
      <c r="F14" s="3" t="s">
        <v>403</v>
      </c>
      <c r="G14" s="2" t="s">
        <v>407</v>
      </c>
    </row>
    <row r="15" customFormat="false" ht="15" hidden="false" customHeight="false" outlineLevel="0" collapsed="false">
      <c r="A15" s="4" t="s">
        <v>408</v>
      </c>
      <c r="B15" s="5" t="s">
        <v>409</v>
      </c>
      <c r="C15" s="5" t="s">
        <v>96</v>
      </c>
      <c r="D15" s="5" t="s">
        <v>182</v>
      </c>
      <c r="E15" s="5" t="s">
        <v>363</v>
      </c>
      <c r="F15" s="5" t="s">
        <v>403</v>
      </c>
      <c r="G15" s="4" t="s">
        <v>410</v>
      </c>
    </row>
    <row r="16" customFormat="false" ht="15" hidden="false" customHeight="false" outlineLevel="0" collapsed="false">
      <c r="A16" s="2" t="s">
        <v>411</v>
      </c>
      <c r="B16" s="3" t="s">
        <v>412</v>
      </c>
      <c r="C16" s="3" t="s">
        <v>96</v>
      </c>
      <c r="D16" s="3" t="s">
        <v>182</v>
      </c>
      <c r="E16" s="3" t="s">
        <v>363</v>
      </c>
      <c r="F16" s="3" t="s">
        <v>403</v>
      </c>
      <c r="G16" s="2" t="s">
        <v>413</v>
      </c>
    </row>
    <row r="17" customFormat="false" ht="15" hidden="false" customHeight="false" outlineLevel="0" collapsed="false">
      <c r="A17" s="4" t="s">
        <v>414</v>
      </c>
      <c r="B17" s="5" t="s">
        <v>415</v>
      </c>
      <c r="C17" s="5" t="s">
        <v>96</v>
      </c>
      <c r="D17" s="5" t="s">
        <v>97</v>
      </c>
      <c r="E17" s="5" t="s">
        <v>416</v>
      </c>
      <c r="F17" s="5" t="s">
        <v>417</v>
      </c>
      <c r="G17" s="4" t="s">
        <v>418</v>
      </c>
    </row>
    <row r="18" customFormat="false" ht="15" hidden="false" customHeight="false" outlineLevel="0" collapsed="false">
      <c r="A18" s="2" t="s">
        <v>419</v>
      </c>
      <c r="B18" s="3" t="s">
        <v>420</v>
      </c>
      <c r="C18" s="3" t="s">
        <v>176</v>
      </c>
      <c r="D18" s="3" t="s">
        <v>97</v>
      </c>
      <c r="E18" s="3" t="s">
        <v>416</v>
      </c>
      <c r="F18" s="3" t="s">
        <v>417</v>
      </c>
      <c r="G18" s="2" t="s">
        <v>421</v>
      </c>
    </row>
    <row r="19" customFormat="false" ht="15" hidden="false" customHeight="false" outlineLevel="0" collapsed="false">
      <c r="A19" s="4" t="s">
        <v>422</v>
      </c>
      <c r="B19" s="5" t="s">
        <v>141</v>
      </c>
      <c r="C19" s="5" t="s">
        <v>96</v>
      </c>
      <c r="D19" s="5" t="s">
        <v>97</v>
      </c>
      <c r="E19" s="5" t="s">
        <v>423</v>
      </c>
      <c r="F19" s="5" t="s">
        <v>424</v>
      </c>
      <c r="G19" s="4" t="s">
        <v>425</v>
      </c>
    </row>
    <row r="20" customFormat="false" ht="15" hidden="false" customHeight="false" outlineLevel="0" collapsed="false">
      <c r="A20" s="2" t="s">
        <v>426</v>
      </c>
      <c r="B20" s="3" t="s">
        <v>427</v>
      </c>
      <c r="C20" s="3" t="s">
        <v>176</v>
      </c>
      <c r="D20" s="3" t="s">
        <v>379</v>
      </c>
      <c r="E20" s="3" t="s">
        <v>363</v>
      </c>
      <c r="F20" s="3" t="s">
        <v>428</v>
      </c>
      <c r="G20" s="2" t="s">
        <v>429</v>
      </c>
    </row>
    <row r="21" customFormat="false" ht="15" hidden="false" customHeight="false" outlineLevel="0" collapsed="false">
      <c r="A21" s="4" t="s">
        <v>430</v>
      </c>
      <c r="B21" s="5" t="s">
        <v>431</v>
      </c>
      <c r="C21" s="5" t="s">
        <v>432</v>
      </c>
      <c r="D21" s="5" t="s">
        <v>379</v>
      </c>
      <c r="E21" s="5" t="s">
        <v>363</v>
      </c>
      <c r="F21" s="5" t="s">
        <v>272</v>
      </c>
      <c r="G21" s="4" t="s">
        <v>433</v>
      </c>
    </row>
    <row r="22" customFormat="false" ht="15" hidden="false" customHeight="false" outlineLevel="0" collapsed="false">
      <c r="A22" s="2" t="s">
        <v>434</v>
      </c>
      <c r="B22" s="3" t="s">
        <v>133</v>
      </c>
      <c r="C22" s="3" t="s">
        <v>96</v>
      </c>
      <c r="D22" s="3" t="s">
        <v>379</v>
      </c>
      <c r="E22" s="3" t="s">
        <v>435</v>
      </c>
      <c r="F22" s="3" t="s">
        <v>436</v>
      </c>
      <c r="G22" s="2" t="s">
        <v>437</v>
      </c>
    </row>
    <row r="23" customFormat="false" ht="15" hidden="false" customHeight="false" outlineLevel="0" collapsed="false">
      <c r="A23" s="4" t="s">
        <v>438</v>
      </c>
      <c r="B23" s="5" t="s">
        <v>439</v>
      </c>
      <c r="C23" s="5" t="s">
        <v>96</v>
      </c>
      <c r="D23" s="5" t="s">
        <v>182</v>
      </c>
      <c r="E23" s="5" t="s">
        <v>182</v>
      </c>
      <c r="F23" s="5" t="s">
        <v>440</v>
      </c>
      <c r="G23" s="4" t="s">
        <v>441</v>
      </c>
    </row>
    <row r="24" customFormat="false" ht="15" hidden="false" customHeight="false" outlineLevel="0" collapsed="false">
      <c r="A24" s="2" t="s">
        <v>442</v>
      </c>
      <c r="B24" s="3" t="s">
        <v>443</v>
      </c>
      <c r="C24" s="3" t="s">
        <v>444</v>
      </c>
      <c r="D24" s="3" t="s">
        <v>182</v>
      </c>
      <c r="E24" s="3" t="s">
        <v>182</v>
      </c>
      <c r="F24" s="3" t="s">
        <v>445</v>
      </c>
      <c r="G24" s="2" t="s">
        <v>446</v>
      </c>
    </row>
    <row r="25" customFormat="false" ht="15" hidden="false" customHeight="false" outlineLevel="0" collapsed="false">
      <c r="A25" s="4" t="s">
        <v>447</v>
      </c>
      <c r="B25" s="5" t="s">
        <v>448</v>
      </c>
      <c r="C25" s="5" t="s">
        <v>96</v>
      </c>
      <c r="D25" s="5" t="s">
        <v>182</v>
      </c>
      <c r="E25" s="5" t="s">
        <v>371</v>
      </c>
      <c r="F25" s="5" t="s">
        <v>449</v>
      </c>
      <c r="G25" s="4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45" hidden="false" customHeight="true" outlineLevel="0" collapsed="false">
      <c r="A1" s="10" t="s">
        <v>0</v>
      </c>
      <c r="B1" s="10" t="s">
        <v>451</v>
      </c>
      <c r="C1" s="10" t="s">
        <v>8</v>
      </c>
      <c r="D1" s="10" t="s">
        <v>452</v>
      </c>
      <c r="E1" s="10" t="s">
        <v>453</v>
      </c>
      <c r="F1" s="10" t="s">
        <v>454</v>
      </c>
      <c r="G1" s="10" t="s">
        <v>455</v>
      </c>
      <c r="H1" s="10" t="s">
        <v>456</v>
      </c>
      <c r="I1" s="10" t="s">
        <v>457</v>
      </c>
      <c r="J1" s="10" t="s">
        <v>458</v>
      </c>
      <c r="K1" s="10" t="s">
        <v>459</v>
      </c>
      <c r="L1" s="10" t="s">
        <v>460</v>
      </c>
    </row>
    <row r="2" customFormat="false" ht="15" hidden="false" customHeight="false" outlineLevel="0" collapsed="false">
      <c r="A2" s="2" t="s">
        <v>78</v>
      </c>
      <c r="B2" s="3" t="n">
        <v>280</v>
      </c>
      <c r="C2" s="3" t="n">
        <v>10</v>
      </c>
      <c r="D2" s="3" t="n">
        <v>80</v>
      </c>
      <c r="E2" s="3" t="n">
        <v>2025</v>
      </c>
      <c r="F2" s="3" t="n">
        <v>2029</v>
      </c>
      <c r="G2" s="3" t="n">
        <v>1</v>
      </c>
      <c r="H2" s="3" t="n">
        <v>5</v>
      </c>
      <c r="I2" s="3" t="n">
        <v>1</v>
      </c>
      <c r="J2" s="3" t="n">
        <v>5</v>
      </c>
      <c r="K2" s="3" t="n">
        <v>1</v>
      </c>
      <c r="L2" s="2" t="s">
        <v>79</v>
      </c>
    </row>
    <row r="3" customFormat="false" ht="15" hidden="false" customHeight="false" outlineLevel="0" collapsed="false">
      <c r="A3" s="4" t="s">
        <v>81</v>
      </c>
      <c r="B3" s="5" t="n">
        <v>240</v>
      </c>
      <c r="C3" s="5" t="n">
        <v>9</v>
      </c>
      <c r="D3" s="5" t="n">
        <v>70</v>
      </c>
      <c r="E3" s="5" t="n">
        <v>2025</v>
      </c>
      <c r="F3" s="5" t="n">
        <v>2030</v>
      </c>
      <c r="G3" s="5" t="n">
        <v>1</v>
      </c>
      <c r="H3" s="5" t="n">
        <v>6</v>
      </c>
      <c r="I3" s="5" t="n">
        <v>1</v>
      </c>
      <c r="J3" s="5" t="n">
        <v>5</v>
      </c>
      <c r="K3" s="5" t="n">
        <v>1</v>
      </c>
      <c r="L3" s="4" t="s">
        <v>79</v>
      </c>
    </row>
    <row r="4" customFormat="false" ht="15" hidden="false" customHeight="false" outlineLevel="0" collapsed="false">
      <c r="A4" s="2" t="s">
        <v>461</v>
      </c>
      <c r="B4" s="3" t="n">
        <v>320</v>
      </c>
      <c r="C4" s="3" t="n">
        <v>9</v>
      </c>
      <c r="D4" s="3" t="n">
        <v>72</v>
      </c>
      <c r="E4" s="3" t="n">
        <v>2025</v>
      </c>
      <c r="F4" s="3" t="n">
        <v>2030</v>
      </c>
      <c r="G4" s="3" t="n">
        <v>1</v>
      </c>
      <c r="H4" s="3" t="n">
        <v>6</v>
      </c>
      <c r="I4" s="3" t="n">
        <v>1</v>
      </c>
      <c r="J4" s="3" t="n">
        <v>5</v>
      </c>
      <c r="K4" s="3" t="n">
        <v>1</v>
      </c>
      <c r="L4" s="2" t="s">
        <v>79</v>
      </c>
    </row>
    <row r="5" customFormat="false" ht="15" hidden="false" customHeight="false" outlineLevel="0" collapsed="false">
      <c r="A5" s="4" t="s">
        <v>29</v>
      </c>
      <c r="B5" s="5" t="n">
        <v>2586</v>
      </c>
      <c r="C5" s="5" t="n">
        <v>9</v>
      </c>
      <c r="D5" s="5" t="n">
        <v>72</v>
      </c>
      <c r="E5" s="5" t="n">
        <v>2026</v>
      </c>
      <c r="F5" s="5" t="n">
        <v>2033</v>
      </c>
      <c r="G5" s="5" t="n">
        <v>2</v>
      </c>
      <c r="H5" s="5" t="n">
        <v>9</v>
      </c>
      <c r="I5" s="5" t="n">
        <v>3</v>
      </c>
      <c r="J5" s="5" t="n">
        <v>5</v>
      </c>
      <c r="K5" s="5" t="n">
        <v>2</v>
      </c>
      <c r="L5" s="4" t="s">
        <v>462</v>
      </c>
    </row>
    <row r="6" customFormat="false" ht="15" hidden="false" customHeight="false" outlineLevel="0" collapsed="false">
      <c r="A6" s="2" t="s">
        <v>59</v>
      </c>
      <c r="B6" s="3" t="n">
        <v>870</v>
      </c>
      <c r="C6" s="3" t="n">
        <v>8</v>
      </c>
      <c r="D6" s="3" t="n">
        <v>65</v>
      </c>
      <c r="E6" s="3" t="n">
        <v>2026</v>
      </c>
      <c r="F6" s="3" t="n">
        <v>2032</v>
      </c>
      <c r="G6" s="3" t="n">
        <v>2</v>
      </c>
      <c r="H6" s="3" t="n">
        <v>8</v>
      </c>
      <c r="I6" s="3" t="n">
        <v>2</v>
      </c>
      <c r="J6" s="3" t="n">
        <v>5</v>
      </c>
      <c r="K6" s="3" t="n">
        <v>2</v>
      </c>
      <c r="L6" s="2" t="s">
        <v>462</v>
      </c>
    </row>
    <row r="7" customFormat="false" ht="15" hidden="false" customHeight="false" outlineLevel="0" collapsed="false">
      <c r="A7" s="4" t="s">
        <v>14</v>
      </c>
      <c r="B7" s="5" t="n">
        <v>5045</v>
      </c>
      <c r="C7" s="5" t="n">
        <v>8</v>
      </c>
      <c r="D7" s="5" t="n">
        <v>62</v>
      </c>
      <c r="E7" s="5" t="n">
        <v>2027</v>
      </c>
      <c r="F7" s="5" t="n">
        <v>2035</v>
      </c>
      <c r="G7" s="5" t="n">
        <v>3</v>
      </c>
      <c r="H7" s="5" t="n">
        <v>11</v>
      </c>
      <c r="I7" s="5" t="n">
        <v>3</v>
      </c>
      <c r="J7" s="5" t="n">
        <v>5</v>
      </c>
      <c r="K7" s="5" t="n">
        <v>2</v>
      </c>
      <c r="L7" s="4" t="s">
        <v>463</v>
      </c>
    </row>
    <row r="8" customFormat="false" ht="15" hidden="false" customHeight="false" outlineLevel="0" collapsed="false">
      <c r="A8" s="2" t="s">
        <v>47</v>
      </c>
      <c r="B8" s="3" t="n">
        <v>1400</v>
      </c>
      <c r="C8" s="3" t="n">
        <v>7</v>
      </c>
      <c r="D8" s="3" t="n">
        <v>58</v>
      </c>
      <c r="E8" s="3" t="n">
        <v>2027</v>
      </c>
      <c r="F8" s="3" t="n">
        <v>2034</v>
      </c>
      <c r="G8" s="3" t="n">
        <v>3</v>
      </c>
      <c r="H8" s="3" t="n">
        <v>10</v>
      </c>
      <c r="I8" s="3" t="n">
        <v>2</v>
      </c>
      <c r="J8" s="3" t="n">
        <v>5</v>
      </c>
      <c r="K8" s="3" t="n">
        <v>2</v>
      </c>
      <c r="L8" s="2" t="s">
        <v>463</v>
      </c>
    </row>
    <row r="9" customFormat="false" ht="15" hidden="false" customHeight="false" outlineLevel="0" collapsed="false">
      <c r="A9" s="4" t="s">
        <v>67</v>
      </c>
      <c r="B9" s="5" t="n">
        <v>650</v>
      </c>
      <c r="C9" s="5" t="n">
        <v>7</v>
      </c>
      <c r="D9" s="5" t="n">
        <v>55</v>
      </c>
      <c r="E9" s="5" t="n">
        <v>2027</v>
      </c>
      <c r="F9" s="5" t="n">
        <v>2034</v>
      </c>
      <c r="G9" s="5" t="n">
        <v>3</v>
      </c>
      <c r="H9" s="5" t="n">
        <v>10</v>
      </c>
      <c r="I9" s="5" t="n">
        <v>2</v>
      </c>
      <c r="J9" s="5" t="n">
        <v>5</v>
      </c>
      <c r="K9" s="5" t="n">
        <v>2</v>
      </c>
      <c r="L9" s="4" t="s">
        <v>463</v>
      </c>
    </row>
    <row r="10" customFormat="false" ht="15" hidden="false" customHeight="false" outlineLevel="0" collapsed="false">
      <c r="A10" s="2" t="s">
        <v>68</v>
      </c>
      <c r="B10" s="3" t="n">
        <v>620</v>
      </c>
      <c r="C10" s="3" t="n">
        <v>7</v>
      </c>
      <c r="D10" s="3" t="n">
        <v>60</v>
      </c>
      <c r="E10" s="3" t="n">
        <v>2027</v>
      </c>
      <c r="F10" s="3" t="n">
        <v>2032</v>
      </c>
      <c r="G10" s="3" t="n">
        <v>3</v>
      </c>
      <c r="H10" s="3" t="n">
        <v>8</v>
      </c>
      <c r="I10" s="3" t="n">
        <v>2</v>
      </c>
      <c r="J10" s="3" t="n">
        <v>5</v>
      </c>
      <c r="K10" s="3" t="n">
        <v>2</v>
      </c>
      <c r="L10" s="2" t="s">
        <v>463</v>
      </c>
    </row>
    <row r="11" customFormat="false" ht="15" hidden="false" customHeight="false" outlineLevel="0" collapsed="false">
      <c r="A11" s="4" t="s">
        <v>22</v>
      </c>
      <c r="B11" s="5" t="n">
        <v>3105</v>
      </c>
      <c r="C11" s="5" t="n">
        <v>7</v>
      </c>
      <c r="D11" s="5" t="n">
        <v>55</v>
      </c>
      <c r="E11" s="5" t="n">
        <v>2028</v>
      </c>
      <c r="F11" s="5" t="n">
        <v>2037</v>
      </c>
      <c r="G11" s="5" t="n">
        <v>4</v>
      </c>
      <c r="H11" s="5" t="n">
        <v>13</v>
      </c>
      <c r="I11" s="5" t="n">
        <v>3</v>
      </c>
      <c r="J11" s="5" t="n">
        <v>5</v>
      </c>
      <c r="K11" s="5" t="n">
        <v>3</v>
      </c>
      <c r="L11" s="4" t="s">
        <v>463</v>
      </c>
    </row>
    <row r="12" customFormat="false" ht="15" hidden="false" customHeight="false" outlineLevel="0" collapsed="false">
      <c r="A12" s="2" t="s">
        <v>58</v>
      </c>
      <c r="B12" s="3" t="n">
        <v>980</v>
      </c>
      <c r="C12" s="3" t="n">
        <v>6</v>
      </c>
      <c r="D12" s="3" t="n">
        <v>50</v>
      </c>
      <c r="E12" s="3" t="n">
        <v>2028</v>
      </c>
      <c r="F12" s="3" t="n">
        <v>2036</v>
      </c>
      <c r="G12" s="3" t="n">
        <v>4</v>
      </c>
      <c r="H12" s="3" t="n">
        <v>12</v>
      </c>
      <c r="I12" s="3" t="n">
        <v>3</v>
      </c>
      <c r="J12" s="3" t="n">
        <v>4</v>
      </c>
      <c r="K12" s="3" t="n">
        <v>3</v>
      </c>
      <c r="L12" s="2" t="s">
        <v>463</v>
      </c>
    </row>
    <row r="13" customFormat="false" ht="15" hidden="false" customHeight="false" outlineLevel="0" collapsed="false">
      <c r="A13" s="4" t="s">
        <v>64</v>
      </c>
      <c r="B13" s="5" t="n">
        <v>780</v>
      </c>
      <c r="C13" s="5" t="n">
        <v>7</v>
      </c>
      <c r="D13" s="5" t="n">
        <v>58</v>
      </c>
      <c r="E13" s="5" t="n">
        <v>2028</v>
      </c>
      <c r="F13" s="5" t="n">
        <v>2036</v>
      </c>
      <c r="G13" s="5" t="n">
        <v>4</v>
      </c>
      <c r="H13" s="5" t="n">
        <v>12</v>
      </c>
      <c r="I13" s="5" t="n">
        <v>3</v>
      </c>
      <c r="J13" s="5" t="n">
        <v>4</v>
      </c>
      <c r="K13" s="5" t="n">
        <v>3</v>
      </c>
      <c r="L13" s="4" t="s">
        <v>463</v>
      </c>
    </row>
    <row r="14" customFormat="false" ht="15" hidden="false" customHeight="false" outlineLevel="0" collapsed="false">
      <c r="A14" s="2" t="s">
        <v>72</v>
      </c>
      <c r="B14" s="3" t="n">
        <v>520</v>
      </c>
      <c r="C14" s="3" t="n">
        <v>5</v>
      </c>
      <c r="D14" s="3" t="n">
        <v>42</v>
      </c>
      <c r="E14" s="3" t="n">
        <v>2030</v>
      </c>
      <c r="F14" s="3" t="n">
        <v>2040</v>
      </c>
      <c r="G14" s="3" t="n">
        <v>6</v>
      </c>
      <c r="H14" s="3" t="n">
        <v>16</v>
      </c>
      <c r="I14" s="3" t="n">
        <v>3</v>
      </c>
      <c r="J14" s="3" t="n">
        <v>4</v>
      </c>
      <c r="K14" s="3" t="n">
        <v>3</v>
      </c>
      <c r="L14" s="2" t="s">
        <v>464</v>
      </c>
    </row>
    <row r="15" customFormat="false" ht="15" hidden="false" customHeight="false" outlineLevel="0" collapsed="false">
      <c r="A15" s="4" t="s">
        <v>55</v>
      </c>
      <c r="B15" s="5" t="n">
        <v>1100</v>
      </c>
      <c r="C15" s="5" t="n">
        <v>5</v>
      </c>
      <c r="D15" s="5" t="n">
        <v>40</v>
      </c>
      <c r="E15" s="5" t="n">
        <v>2030</v>
      </c>
      <c r="F15" s="5" t="n">
        <v>2040</v>
      </c>
      <c r="G15" s="5" t="n">
        <v>6</v>
      </c>
      <c r="H15" s="5" t="n">
        <v>16</v>
      </c>
      <c r="I15" s="5" t="n">
        <v>3</v>
      </c>
      <c r="J15" s="5" t="n">
        <v>4</v>
      </c>
      <c r="K15" s="5" t="n">
        <v>3</v>
      </c>
      <c r="L15" s="4" t="s">
        <v>464</v>
      </c>
    </row>
    <row r="16" customFormat="false" ht="15" hidden="false" customHeight="false" outlineLevel="0" collapsed="false">
      <c r="A16" s="2" t="s">
        <v>54</v>
      </c>
      <c r="B16" s="3" t="n">
        <v>1200</v>
      </c>
      <c r="C16" s="3" t="n">
        <v>5</v>
      </c>
      <c r="D16" s="3" t="n">
        <v>35</v>
      </c>
      <c r="E16" s="3" t="n">
        <v>2032</v>
      </c>
      <c r="F16" s="3" t="n">
        <v>2042</v>
      </c>
      <c r="G16" s="3" t="n">
        <v>8</v>
      </c>
      <c r="H16" s="3" t="n">
        <v>18</v>
      </c>
      <c r="I16" s="3" t="n">
        <v>4</v>
      </c>
      <c r="J16" s="3" t="n">
        <v>3</v>
      </c>
      <c r="K16" s="3" t="n">
        <v>4</v>
      </c>
      <c r="L16" s="2" t="s">
        <v>464</v>
      </c>
    </row>
    <row r="17" customFormat="false" ht="15" hidden="false" customHeight="false" outlineLevel="0" collapsed="false">
      <c r="A17" s="4" t="s">
        <v>50</v>
      </c>
      <c r="B17" s="5" t="n">
        <v>1350</v>
      </c>
      <c r="C17" s="5" t="n">
        <v>4</v>
      </c>
      <c r="D17" s="5" t="n">
        <v>28</v>
      </c>
      <c r="E17" s="5" t="n">
        <v>2035</v>
      </c>
      <c r="F17" s="5" t="n">
        <v>2045</v>
      </c>
      <c r="G17" s="5" t="n">
        <v>11</v>
      </c>
      <c r="H17" s="5" t="n">
        <v>21</v>
      </c>
      <c r="I17" s="5" t="n">
        <v>4</v>
      </c>
      <c r="J17" s="5" t="n">
        <v>3</v>
      </c>
      <c r="K17" s="5" t="n">
        <v>4</v>
      </c>
      <c r="L17" s="4" t="s">
        <v>465</v>
      </c>
    </row>
    <row r="18" customFormat="false" ht="15" hidden="false" customHeight="false" outlineLevel="0" collapsed="false">
      <c r="A18" s="2" t="s">
        <v>44</v>
      </c>
      <c r="B18" s="3" t="n">
        <v>1600</v>
      </c>
      <c r="C18" s="3" t="n">
        <v>3</v>
      </c>
      <c r="D18" s="3" t="n">
        <v>18</v>
      </c>
      <c r="E18" s="3" t="n">
        <v>2038</v>
      </c>
      <c r="F18" s="3" t="n">
        <v>2055</v>
      </c>
      <c r="G18" s="3" t="n">
        <v>14</v>
      </c>
      <c r="H18" s="3" t="n">
        <v>31</v>
      </c>
      <c r="I18" s="3" t="n">
        <v>3</v>
      </c>
      <c r="J18" s="3" t="n">
        <v>3</v>
      </c>
      <c r="K18" s="3" t="n">
        <v>4</v>
      </c>
      <c r="L18" s="2" t="s">
        <v>466</v>
      </c>
    </row>
    <row r="19" customFormat="false" ht="15" hidden="false" customHeight="false" outlineLevel="0" collapsed="false">
      <c r="A19" s="4" t="s">
        <v>74</v>
      </c>
      <c r="B19" s="5" t="n">
        <v>480</v>
      </c>
      <c r="C19" s="5" t="n">
        <v>3</v>
      </c>
      <c r="D19" s="5" t="n">
        <v>20</v>
      </c>
      <c r="E19" s="5" t="n">
        <v>2038</v>
      </c>
      <c r="F19" s="5" t="n">
        <v>2050</v>
      </c>
      <c r="G19" s="5" t="n">
        <v>14</v>
      </c>
      <c r="H19" s="5" t="n">
        <v>26</v>
      </c>
      <c r="I19" s="5" t="n">
        <v>3</v>
      </c>
      <c r="J19" s="5" t="n">
        <v>3</v>
      </c>
      <c r="K19" s="5" t="n">
        <v>4</v>
      </c>
      <c r="L19" s="4" t="s">
        <v>466</v>
      </c>
    </row>
    <row r="20" customFormat="false" ht="15" hidden="false" customHeight="false" outlineLevel="0" collapsed="false">
      <c r="A20" s="2" t="s">
        <v>65</v>
      </c>
      <c r="B20" s="3" t="n">
        <v>720</v>
      </c>
      <c r="C20" s="3" t="n">
        <v>2</v>
      </c>
      <c r="D20" s="3" t="n">
        <v>12</v>
      </c>
      <c r="E20" s="3" t="n">
        <v>2040</v>
      </c>
      <c r="F20" s="3" t="n">
        <v>2060</v>
      </c>
      <c r="G20" s="3" t="n">
        <v>16</v>
      </c>
      <c r="H20" s="3" t="n">
        <v>36</v>
      </c>
      <c r="I20" s="3" t="n">
        <v>3</v>
      </c>
      <c r="J20" s="3" t="n">
        <v>3</v>
      </c>
      <c r="K20" s="3" t="n">
        <v>5</v>
      </c>
      <c r="L20" s="2" t="s">
        <v>466</v>
      </c>
    </row>
    <row r="21" customFormat="false" ht="15" hidden="false" customHeight="false" outlineLevel="0" collapsed="false">
      <c r="A21" s="4" t="s">
        <v>61</v>
      </c>
      <c r="B21" s="5" t="n">
        <v>820</v>
      </c>
      <c r="C21" s="5" t="n">
        <v>3</v>
      </c>
      <c r="D21" s="5" t="n">
        <v>20</v>
      </c>
      <c r="E21" s="5" t="n">
        <v>2038</v>
      </c>
      <c r="F21" s="5" t="n">
        <v>2050</v>
      </c>
      <c r="G21" s="5" t="n">
        <v>14</v>
      </c>
      <c r="H21" s="5" t="n">
        <v>26</v>
      </c>
      <c r="I21" s="5" t="n">
        <v>5</v>
      </c>
      <c r="J21" s="5" t="n">
        <v>2</v>
      </c>
      <c r="K21" s="5" t="n">
        <v>5</v>
      </c>
      <c r="L21" s="4" t="s">
        <v>466</v>
      </c>
    </row>
    <row r="22" customFormat="false" ht="15" hidden="false" customHeight="false" outlineLevel="0" collapsed="false">
      <c r="A22" s="2" t="s">
        <v>69</v>
      </c>
      <c r="B22" s="3" t="n">
        <v>580</v>
      </c>
      <c r="C22" s="3" t="n">
        <v>3</v>
      </c>
      <c r="D22" s="3" t="n">
        <v>25</v>
      </c>
      <c r="E22" s="3" t="n">
        <v>2036</v>
      </c>
      <c r="F22" s="3" t="n">
        <v>2048</v>
      </c>
      <c r="G22" s="3" t="n">
        <v>12</v>
      </c>
      <c r="H22" s="3" t="n">
        <v>24</v>
      </c>
      <c r="I22" s="3" t="n">
        <v>4</v>
      </c>
      <c r="J22" s="3" t="n">
        <v>2</v>
      </c>
      <c r="K22" s="3" t="n">
        <v>4</v>
      </c>
      <c r="L22" s="2" t="s">
        <v>466</v>
      </c>
    </row>
    <row r="23" customFormat="false" ht="15" hidden="false" customHeight="false" outlineLevel="0" collapsed="false">
      <c r="A23" s="4" t="s">
        <v>42</v>
      </c>
      <c r="B23" s="5" t="n">
        <v>1750</v>
      </c>
      <c r="C23" s="5" t="n">
        <v>1</v>
      </c>
      <c r="D23" s="5" t="n">
        <v>10</v>
      </c>
      <c r="E23" s="5" t="n">
        <v>2045</v>
      </c>
      <c r="F23" s="5" t="n">
        <v>2070</v>
      </c>
      <c r="G23" s="5" t="n">
        <v>21</v>
      </c>
      <c r="H23" s="5" t="n">
        <v>46</v>
      </c>
      <c r="I23" s="5" t="n">
        <v>3</v>
      </c>
      <c r="J23" s="5" t="n">
        <v>4</v>
      </c>
      <c r="K23" s="5" t="n">
        <v>4</v>
      </c>
      <c r="L23" s="4" t="s">
        <v>467</v>
      </c>
    </row>
    <row r="24" customFormat="false" ht="15" hidden="false" customHeight="false" outlineLevel="0" collapsed="false">
      <c r="A24" s="2" t="s">
        <v>39</v>
      </c>
      <c r="B24" s="3" t="n">
        <v>1800</v>
      </c>
      <c r="C24" s="3" t="n">
        <v>1</v>
      </c>
      <c r="D24" s="3" t="n">
        <v>10</v>
      </c>
      <c r="E24" s="3" t="n">
        <v>2045</v>
      </c>
      <c r="F24" s="3" t="n">
        <v>2070</v>
      </c>
      <c r="G24" s="3" t="n">
        <v>21</v>
      </c>
      <c r="H24" s="3" t="n">
        <v>46</v>
      </c>
      <c r="I24" s="3" t="n">
        <v>3</v>
      </c>
      <c r="J24" s="3" t="n">
        <v>4</v>
      </c>
      <c r="K24" s="3" t="n">
        <v>4</v>
      </c>
      <c r="L24" s="2" t="s">
        <v>467</v>
      </c>
    </row>
    <row r="25" customFormat="false" ht="15" hidden="false" customHeight="false" outlineLevel="0" collapsed="false">
      <c r="A25" s="4" t="s">
        <v>32</v>
      </c>
      <c r="B25" s="5" t="n">
        <v>2200</v>
      </c>
      <c r="C25" s="5" t="n">
        <v>2</v>
      </c>
      <c r="D25" s="5" t="n">
        <v>15</v>
      </c>
      <c r="E25" s="5" t="n">
        <v>2040</v>
      </c>
      <c r="F25" s="5" t="n">
        <v>2055</v>
      </c>
      <c r="G25" s="5" t="n">
        <v>16</v>
      </c>
      <c r="H25" s="5" t="n">
        <v>31</v>
      </c>
      <c r="I25" s="5" t="n">
        <v>5</v>
      </c>
      <c r="J25" s="5" t="n">
        <v>3</v>
      </c>
      <c r="K25" s="5" t="n">
        <v>5</v>
      </c>
      <c r="L25" s="4" t="s">
        <v>467</v>
      </c>
    </row>
    <row r="26" customFormat="false" ht="15" hidden="false" customHeight="false" outlineLevel="0" collapsed="false">
      <c r="A26" s="2" t="s">
        <v>38</v>
      </c>
      <c r="B26" s="3" t="n">
        <v>1900</v>
      </c>
      <c r="C26" s="3" t="n">
        <v>2</v>
      </c>
      <c r="D26" s="3" t="n">
        <v>14</v>
      </c>
      <c r="E26" s="3" t="n">
        <v>2042</v>
      </c>
      <c r="F26" s="3" t="n">
        <v>2060</v>
      </c>
      <c r="G26" s="3" t="n">
        <v>18</v>
      </c>
      <c r="H26" s="3" t="n">
        <v>36</v>
      </c>
      <c r="I26" s="3" t="n">
        <v>5</v>
      </c>
      <c r="J26" s="3" t="n">
        <v>3</v>
      </c>
      <c r="K26" s="3" t="n">
        <v>5</v>
      </c>
      <c r="L26" s="2" t="s">
        <v>467</v>
      </c>
    </row>
    <row r="27" customFormat="false" ht="15" hidden="false" customHeight="false" outlineLevel="0" collapsed="false">
      <c r="A27" s="4" t="s">
        <v>70</v>
      </c>
      <c r="B27" s="5" t="n">
        <v>540</v>
      </c>
      <c r="C27" s="5" t="n">
        <v>2</v>
      </c>
      <c r="D27" s="5" t="n">
        <v>18</v>
      </c>
      <c r="E27" s="5" t="n">
        <v>2040</v>
      </c>
      <c r="F27" s="5" t="n">
        <v>2055</v>
      </c>
      <c r="G27" s="5" t="n">
        <v>16</v>
      </c>
      <c r="H27" s="5" t="n">
        <v>31</v>
      </c>
      <c r="I27" s="5" t="n">
        <v>5</v>
      </c>
      <c r="J27" s="5" t="n">
        <v>1</v>
      </c>
      <c r="K27" s="5" t="n">
        <v>5</v>
      </c>
      <c r="L27" s="4" t="s">
        <v>84</v>
      </c>
    </row>
    <row r="28" customFormat="false" ht="15" hidden="false" customHeight="false" outlineLevel="0" collapsed="false">
      <c r="A28" s="2" t="s">
        <v>82</v>
      </c>
      <c r="B28" s="3" t="n">
        <v>200</v>
      </c>
      <c r="C28" s="3" t="n">
        <v>1</v>
      </c>
      <c r="D28" s="3" t="n">
        <v>8</v>
      </c>
      <c r="E28" s="3" t="n">
        <v>2050</v>
      </c>
      <c r="F28" s="3" t="n">
        <v>2070</v>
      </c>
      <c r="G28" s="3" t="n">
        <v>26</v>
      </c>
      <c r="H28" s="3" t="n">
        <v>46</v>
      </c>
      <c r="I28" s="3" t="n">
        <v>5</v>
      </c>
      <c r="J28" s="3" t="n">
        <v>1</v>
      </c>
      <c r="K28" s="3" t="n">
        <v>5</v>
      </c>
      <c r="L28" s="2" t="s">
        <v>84</v>
      </c>
    </row>
    <row r="29" customFormat="false" ht="15" hidden="false" customHeight="false" outlineLevel="0" collapsed="false">
      <c r="A29" s="4" t="s">
        <v>86</v>
      </c>
      <c r="B29" s="5" t="n">
        <v>180</v>
      </c>
      <c r="C29" s="5" t="n">
        <v>1</v>
      </c>
      <c r="D29" s="5" t="n">
        <v>5</v>
      </c>
      <c r="E29" s="5" t="n">
        <v>2055</v>
      </c>
      <c r="F29" s="5" t="n">
        <v>2080</v>
      </c>
      <c r="G29" s="5" t="n">
        <v>31</v>
      </c>
      <c r="H29" s="5" t="n">
        <v>56</v>
      </c>
      <c r="I29" s="5" t="n">
        <v>5</v>
      </c>
      <c r="J29" s="5" t="n">
        <v>1</v>
      </c>
      <c r="K29" s="5" t="n">
        <v>5</v>
      </c>
      <c r="L29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1" t="s">
        <v>468</v>
      </c>
      <c r="B1" s="11" t="s">
        <v>0</v>
      </c>
      <c r="C1" s="11" t="s">
        <v>469</v>
      </c>
      <c r="D1" s="11" t="s">
        <v>470</v>
      </c>
      <c r="E1" s="11" t="s">
        <v>471</v>
      </c>
      <c r="F1" s="11" t="s">
        <v>472</v>
      </c>
      <c r="G1" s="11" t="s">
        <v>13</v>
      </c>
    </row>
    <row r="2" customFormat="false" ht="15" hidden="false" customHeight="false" outlineLevel="0" collapsed="false">
      <c r="A2" s="3" t="n">
        <v>1</v>
      </c>
      <c r="B2" s="2" t="s">
        <v>14</v>
      </c>
      <c r="C2" s="3" t="n">
        <v>5045</v>
      </c>
      <c r="D2" s="12" t="n">
        <v>5.56</v>
      </c>
      <c r="E2" s="2" t="s">
        <v>473</v>
      </c>
      <c r="F2" s="2" t="s">
        <v>463</v>
      </c>
      <c r="G2" s="2" t="s">
        <v>474</v>
      </c>
    </row>
    <row r="3" customFormat="false" ht="15" hidden="false" customHeight="false" outlineLevel="0" collapsed="false">
      <c r="A3" s="5" t="n">
        <v>2</v>
      </c>
      <c r="B3" s="4" t="s">
        <v>22</v>
      </c>
      <c r="C3" s="5" t="n">
        <v>3105</v>
      </c>
      <c r="D3" s="13" t="n">
        <v>3.42</v>
      </c>
      <c r="E3" s="4" t="s">
        <v>475</v>
      </c>
      <c r="F3" s="4" t="s">
        <v>463</v>
      </c>
      <c r="G3" s="4" t="s">
        <v>474</v>
      </c>
    </row>
    <row r="4" customFormat="false" ht="15" hidden="false" customHeight="false" outlineLevel="0" collapsed="false">
      <c r="A4" s="3" t="n">
        <v>3</v>
      </c>
      <c r="B4" s="2" t="s">
        <v>29</v>
      </c>
      <c r="C4" s="3" t="n">
        <v>2586</v>
      </c>
      <c r="D4" s="12" t="n">
        <v>2.85</v>
      </c>
      <c r="E4" s="2" t="s">
        <v>473</v>
      </c>
      <c r="F4" s="2" t="s">
        <v>462</v>
      </c>
      <c r="G4" s="2" t="s">
        <v>474</v>
      </c>
    </row>
    <row r="5" customFormat="false" ht="15" hidden="false" customHeight="false" outlineLevel="0" collapsed="false">
      <c r="A5" s="5" t="n">
        <v>4</v>
      </c>
      <c r="B5" s="4" t="s">
        <v>32</v>
      </c>
      <c r="C5" s="5" t="n">
        <v>2200</v>
      </c>
      <c r="D5" s="13" t="n">
        <v>2.42</v>
      </c>
      <c r="E5" s="4" t="s">
        <v>476</v>
      </c>
      <c r="F5" s="4" t="s">
        <v>466</v>
      </c>
      <c r="G5" s="4" t="s">
        <v>477</v>
      </c>
    </row>
    <row r="6" customFormat="false" ht="15" hidden="false" customHeight="false" outlineLevel="0" collapsed="false">
      <c r="A6" s="3" t="n">
        <v>5</v>
      </c>
      <c r="B6" s="2" t="s">
        <v>38</v>
      </c>
      <c r="C6" s="3" t="n">
        <v>1900</v>
      </c>
      <c r="D6" s="12" t="n">
        <v>2.09</v>
      </c>
      <c r="E6" s="2" t="s">
        <v>478</v>
      </c>
      <c r="F6" s="2" t="s">
        <v>466</v>
      </c>
      <c r="G6" s="2" t="s">
        <v>477</v>
      </c>
    </row>
    <row r="7" customFormat="false" ht="15" hidden="false" customHeight="false" outlineLevel="0" collapsed="false">
      <c r="A7" s="5" t="n">
        <v>6</v>
      </c>
      <c r="B7" s="4" t="s">
        <v>39</v>
      </c>
      <c r="C7" s="5" t="n">
        <v>1800</v>
      </c>
      <c r="D7" s="13" t="n">
        <v>1.98</v>
      </c>
      <c r="E7" s="4" t="s">
        <v>479</v>
      </c>
      <c r="F7" s="4" t="s">
        <v>467</v>
      </c>
      <c r="G7" s="4" t="s">
        <v>477</v>
      </c>
    </row>
    <row r="8" customFormat="false" ht="15" hidden="false" customHeight="false" outlineLevel="0" collapsed="false">
      <c r="A8" s="3" t="n">
        <v>7</v>
      </c>
      <c r="B8" s="2" t="s">
        <v>42</v>
      </c>
      <c r="C8" s="3" t="n">
        <v>1750</v>
      </c>
      <c r="D8" s="12" t="n">
        <v>1.93</v>
      </c>
      <c r="E8" s="2" t="s">
        <v>479</v>
      </c>
      <c r="F8" s="2" t="s">
        <v>467</v>
      </c>
      <c r="G8" s="2" t="s">
        <v>477</v>
      </c>
    </row>
    <row r="9" customFormat="false" ht="15" hidden="false" customHeight="false" outlineLevel="0" collapsed="false">
      <c r="A9" s="5" t="n">
        <v>8</v>
      </c>
      <c r="B9" s="4" t="s">
        <v>44</v>
      </c>
      <c r="C9" s="5" t="n">
        <v>1600</v>
      </c>
      <c r="D9" s="13" t="n">
        <v>1.76</v>
      </c>
      <c r="E9" s="4" t="s">
        <v>478</v>
      </c>
      <c r="F9" s="4" t="s">
        <v>466</v>
      </c>
      <c r="G9" s="4" t="s">
        <v>477</v>
      </c>
    </row>
    <row r="10" customFormat="false" ht="15" hidden="false" customHeight="false" outlineLevel="0" collapsed="false">
      <c r="A10" s="3" t="n">
        <v>9</v>
      </c>
      <c r="B10" s="2" t="s">
        <v>47</v>
      </c>
      <c r="C10" s="3" t="n">
        <v>1400</v>
      </c>
      <c r="D10" s="12" t="n">
        <v>1.54</v>
      </c>
      <c r="E10" s="2" t="s">
        <v>473</v>
      </c>
      <c r="F10" s="2" t="s">
        <v>463</v>
      </c>
      <c r="G10" s="2" t="s">
        <v>477</v>
      </c>
    </row>
    <row r="11" customFormat="false" ht="15" hidden="false" customHeight="false" outlineLevel="0" collapsed="false">
      <c r="A11" s="5" t="n">
        <v>10</v>
      </c>
      <c r="B11" s="4" t="s">
        <v>50</v>
      </c>
      <c r="C11" s="5" t="n">
        <v>1350</v>
      </c>
      <c r="D11" s="13" t="n">
        <v>1.49</v>
      </c>
      <c r="E11" s="4" t="s">
        <v>479</v>
      </c>
      <c r="F11" s="4" t="s">
        <v>464</v>
      </c>
      <c r="G11" s="4" t="s">
        <v>477</v>
      </c>
    </row>
    <row r="12" customFormat="false" ht="15" hidden="false" customHeight="false" outlineLevel="0" collapsed="false">
      <c r="A12" s="3" t="s">
        <v>214</v>
      </c>
      <c r="B12" s="2" t="s">
        <v>480</v>
      </c>
      <c r="C12" s="3" t="n">
        <f aca="false">SUM(C2:C11)</f>
        <v>22736</v>
      </c>
      <c r="D12" s="3" t="n">
        <f aca="false">SUM(D2:D11)</f>
        <v>25.04</v>
      </c>
      <c r="E12" s="2" t="s">
        <v>214</v>
      </c>
      <c r="F12" s="2" t="s">
        <v>214</v>
      </c>
      <c r="G12" s="2" t="s">
        <v>43</v>
      </c>
    </row>
    <row r="13" customFormat="false" ht="15" hidden="false" customHeight="false" outlineLevel="0" collapsed="false">
      <c r="A13" s="14" t="s">
        <v>214</v>
      </c>
      <c r="B13" s="15" t="s">
        <v>481</v>
      </c>
      <c r="C13" s="14" t="n">
        <v>90715</v>
      </c>
      <c r="D13" s="16" t="n">
        <v>100</v>
      </c>
      <c r="E13" s="15" t="s">
        <v>214</v>
      </c>
      <c r="F13" s="15" t="s">
        <v>214</v>
      </c>
      <c r="G13" s="15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39.75" hidden="false" customHeight="true" outlineLevel="0" collapsed="false">
      <c r="A1" s="7" t="s">
        <v>482</v>
      </c>
      <c r="B1" s="7" t="s">
        <v>1</v>
      </c>
      <c r="C1" s="7" t="s">
        <v>483</v>
      </c>
      <c r="D1" s="7" t="s">
        <v>484</v>
      </c>
      <c r="E1" s="7" t="s">
        <v>485</v>
      </c>
      <c r="F1" s="7" t="s">
        <v>472</v>
      </c>
      <c r="G1" s="7" t="s">
        <v>486</v>
      </c>
      <c r="H1" s="7" t="s">
        <v>13</v>
      </c>
    </row>
    <row r="2" customFormat="false" ht="15" hidden="false" customHeight="false" outlineLevel="0" collapsed="false">
      <c r="A2" s="2" t="s">
        <v>487</v>
      </c>
      <c r="B2" s="2" t="s">
        <v>62</v>
      </c>
      <c r="C2" s="3" t="s">
        <v>24</v>
      </c>
      <c r="D2" s="3" t="s">
        <v>488</v>
      </c>
      <c r="E2" s="3" t="s">
        <v>489</v>
      </c>
      <c r="F2" s="3" t="s">
        <v>467</v>
      </c>
      <c r="G2" s="3" t="s">
        <v>490</v>
      </c>
      <c r="H2" s="2" t="s">
        <v>491</v>
      </c>
    </row>
    <row r="3" customFormat="false" ht="15" hidden="false" customHeight="false" outlineLevel="0" collapsed="false">
      <c r="A3" s="4" t="s">
        <v>492</v>
      </c>
      <c r="B3" s="4" t="s">
        <v>62</v>
      </c>
      <c r="C3" s="5" t="s">
        <v>16</v>
      </c>
      <c r="D3" s="5" t="s">
        <v>488</v>
      </c>
      <c r="E3" s="5" t="s">
        <v>493</v>
      </c>
      <c r="F3" s="5" t="s">
        <v>467</v>
      </c>
      <c r="G3" s="5" t="s">
        <v>494</v>
      </c>
      <c r="H3" s="4" t="s">
        <v>495</v>
      </c>
    </row>
    <row r="4" customFormat="false" ht="15" hidden="false" customHeight="false" outlineLevel="0" collapsed="false">
      <c r="A4" s="2" t="s">
        <v>82</v>
      </c>
      <c r="B4" s="2" t="s">
        <v>62</v>
      </c>
      <c r="C4" s="3" t="s">
        <v>16</v>
      </c>
      <c r="D4" s="3" t="s">
        <v>488</v>
      </c>
      <c r="E4" s="3" t="s">
        <v>496</v>
      </c>
      <c r="F4" s="3" t="s">
        <v>84</v>
      </c>
      <c r="G4" s="3" t="s">
        <v>77</v>
      </c>
      <c r="H4" s="2" t="s">
        <v>497</v>
      </c>
    </row>
    <row r="5" customFormat="false" ht="15" hidden="false" customHeight="false" outlineLevel="0" collapsed="false">
      <c r="A5" s="4" t="s">
        <v>498</v>
      </c>
      <c r="B5" s="4" t="s">
        <v>62</v>
      </c>
      <c r="C5" s="5" t="s">
        <v>499</v>
      </c>
      <c r="D5" s="5" t="s">
        <v>488</v>
      </c>
      <c r="E5" s="5" t="s">
        <v>500</v>
      </c>
      <c r="F5" s="5" t="s">
        <v>84</v>
      </c>
      <c r="G5" s="5" t="s">
        <v>501</v>
      </c>
      <c r="H5" s="4" t="s">
        <v>85</v>
      </c>
    </row>
    <row r="6" customFormat="false" ht="15" hidden="false" customHeight="false" outlineLevel="0" collapsed="false">
      <c r="A6" s="2" t="s">
        <v>502</v>
      </c>
      <c r="B6" s="2" t="s">
        <v>62</v>
      </c>
      <c r="C6" s="3" t="s">
        <v>16</v>
      </c>
      <c r="D6" s="3" t="s">
        <v>24</v>
      </c>
      <c r="E6" s="3" t="s">
        <v>503</v>
      </c>
      <c r="F6" s="3" t="s">
        <v>467</v>
      </c>
      <c r="G6" s="3" t="s">
        <v>77</v>
      </c>
      <c r="H6" s="2" t="s">
        <v>85</v>
      </c>
    </row>
    <row r="7" customFormat="false" ht="15" hidden="false" customHeight="false" outlineLevel="0" collapsed="false">
      <c r="A7" s="4" t="s">
        <v>504</v>
      </c>
      <c r="B7" s="4" t="s">
        <v>505</v>
      </c>
      <c r="C7" s="5" t="s">
        <v>25</v>
      </c>
      <c r="D7" s="5" t="s">
        <v>16</v>
      </c>
      <c r="E7" s="5" t="s">
        <v>506</v>
      </c>
      <c r="F7" s="5" t="s">
        <v>466</v>
      </c>
      <c r="G7" s="5" t="s">
        <v>49</v>
      </c>
      <c r="H7" s="4" t="s">
        <v>507</v>
      </c>
    </row>
    <row r="8" customFormat="false" ht="15" hidden="false" customHeight="false" outlineLevel="0" collapsed="false">
      <c r="A8" s="2" t="s">
        <v>508</v>
      </c>
      <c r="B8" s="2" t="s">
        <v>509</v>
      </c>
      <c r="C8" s="3" t="s">
        <v>16</v>
      </c>
      <c r="D8" s="3" t="s">
        <v>16</v>
      </c>
      <c r="E8" s="3" t="s">
        <v>510</v>
      </c>
      <c r="F8" s="3" t="s">
        <v>466</v>
      </c>
      <c r="G8" s="3" t="s">
        <v>25</v>
      </c>
      <c r="H8" s="2" t="s">
        <v>511</v>
      </c>
    </row>
    <row r="9" customFormat="false" ht="15" hidden="false" customHeight="false" outlineLevel="0" collapsed="false">
      <c r="A9" s="4" t="s">
        <v>512</v>
      </c>
      <c r="B9" s="4" t="s">
        <v>513</v>
      </c>
      <c r="C9" s="5" t="s">
        <v>499</v>
      </c>
      <c r="D9" s="5" t="s">
        <v>16</v>
      </c>
      <c r="E9" s="5" t="s">
        <v>514</v>
      </c>
      <c r="F9" s="5" t="s">
        <v>466</v>
      </c>
      <c r="G9" s="5" t="s">
        <v>77</v>
      </c>
      <c r="H9" s="4" t="s">
        <v>85</v>
      </c>
    </row>
    <row r="10" customFormat="false" ht="15" hidden="false" customHeight="false" outlineLevel="0" collapsed="false">
      <c r="A10" s="2" t="s">
        <v>515</v>
      </c>
      <c r="B10" s="2" t="s">
        <v>516</v>
      </c>
      <c r="C10" s="3" t="s">
        <v>16</v>
      </c>
      <c r="D10" s="3" t="s">
        <v>16</v>
      </c>
      <c r="E10" s="3" t="s">
        <v>517</v>
      </c>
      <c r="F10" s="3" t="s">
        <v>464</v>
      </c>
      <c r="G10" s="3" t="s">
        <v>25</v>
      </c>
      <c r="H10" s="2" t="s">
        <v>518</v>
      </c>
    </row>
    <row r="11" customFormat="false" ht="15" hidden="false" customHeight="false" outlineLevel="0" collapsed="false">
      <c r="A11" s="4" t="s">
        <v>519</v>
      </c>
      <c r="B11" s="4" t="s">
        <v>33</v>
      </c>
      <c r="C11" s="5" t="s">
        <v>16</v>
      </c>
      <c r="D11" s="5" t="s">
        <v>24</v>
      </c>
      <c r="E11" s="5" t="s">
        <v>520</v>
      </c>
      <c r="F11" s="5" t="s">
        <v>467</v>
      </c>
      <c r="G11" s="5" t="s">
        <v>25</v>
      </c>
      <c r="H11" s="4" t="s">
        <v>521</v>
      </c>
    </row>
    <row r="12" customFormat="false" ht="15" hidden="false" customHeight="false" outlineLevel="0" collapsed="false">
      <c r="A12" s="2" t="s">
        <v>522</v>
      </c>
      <c r="B12" s="2" t="s">
        <v>523</v>
      </c>
      <c r="C12" s="3" t="s">
        <v>49</v>
      </c>
      <c r="D12" s="3" t="s">
        <v>16</v>
      </c>
      <c r="E12" s="3" t="s">
        <v>489</v>
      </c>
      <c r="F12" s="3" t="s">
        <v>466</v>
      </c>
      <c r="G12" s="3" t="s">
        <v>77</v>
      </c>
      <c r="H12" s="2" t="s">
        <v>85</v>
      </c>
    </row>
    <row r="13" customFormat="false" ht="15" hidden="false" customHeight="false" outlineLevel="0" collapsed="false">
      <c r="A13" s="4" t="s">
        <v>524</v>
      </c>
      <c r="B13" s="4" t="s">
        <v>525</v>
      </c>
      <c r="C13" s="5" t="s">
        <v>25</v>
      </c>
      <c r="D13" s="5" t="s">
        <v>16</v>
      </c>
      <c r="E13" s="5" t="s">
        <v>526</v>
      </c>
      <c r="F13" s="5" t="s">
        <v>464</v>
      </c>
      <c r="G13" s="5" t="s">
        <v>49</v>
      </c>
      <c r="H13" s="4" t="s">
        <v>85</v>
      </c>
    </row>
    <row r="14" customFormat="false" ht="15" hidden="false" customHeight="false" outlineLevel="0" collapsed="false">
      <c r="A14" s="2" t="s">
        <v>527</v>
      </c>
      <c r="B14" s="2" t="s">
        <v>40</v>
      </c>
      <c r="C14" s="3" t="s">
        <v>25</v>
      </c>
      <c r="D14" s="3" t="s">
        <v>16</v>
      </c>
      <c r="E14" s="3" t="s">
        <v>528</v>
      </c>
      <c r="F14" s="3" t="s">
        <v>467</v>
      </c>
      <c r="G14" s="3" t="s">
        <v>25</v>
      </c>
      <c r="H14" s="2" t="s">
        <v>424</v>
      </c>
    </row>
    <row r="15" customFormat="false" ht="15" hidden="false" customHeight="false" outlineLevel="0" collapsed="false">
      <c r="A15" s="4" t="s">
        <v>529</v>
      </c>
      <c r="B15" s="4" t="s">
        <v>530</v>
      </c>
      <c r="C15" s="5" t="s">
        <v>49</v>
      </c>
      <c r="D15" s="5" t="s">
        <v>16</v>
      </c>
      <c r="E15" s="5" t="s">
        <v>531</v>
      </c>
      <c r="F15" s="5" t="s">
        <v>466</v>
      </c>
      <c r="G15" s="5" t="s">
        <v>77</v>
      </c>
      <c r="H15" s="4" t="s">
        <v>532</v>
      </c>
    </row>
    <row r="16" customFormat="false" ht="15" hidden="false" customHeight="false" outlineLevel="0" collapsed="false">
      <c r="A16" s="2" t="s">
        <v>533</v>
      </c>
      <c r="B16" s="2" t="s">
        <v>523</v>
      </c>
      <c r="C16" s="3" t="s">
        <v>49</v>
      </c>
      <c r="D16" s="3" t="s">
        <v>16</v>
      </c>
      <c r="E16" s="3" t="s">
        <v>510</v>
      </c>
      <c r="F16" s="3" t="s">
        <v>467</v>
      </c>
      <c r="G16" s="3" t="s">
        <v>77</v>
      </c>
      <c r="H16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49.5" hidden="false" customHeight="true" outlineLevel="0" collapsed="false">
      <c r="A1" s="9" t="s">
        <v>0</v>
      </c>
      <c r="B1" s="9" t="s">
        <v>534</v>
      </c>
      <c r="C1" s="9" t="s">
        <v>535</v>
      </c>
      <c r="D1" s="9" t="s">
        <v>536</v>
      </c>
      <c r="E1" s="9" t="s">
        <v>537</v>
      </c>
      <c r="F1" s="9" t="s">
        <v>538</v>
      </c>
      <c r="G1" s="9" t="s">
        <v>539</v>
      </c>
      <c r="H1" s="9" t="s">
        <v>540</v>
      </c>
    </row>
    <row r="2" customFormat="false" ht="15" hidden="false" customHeight="false" outlineLevel="0" collapsed="false">
      <c r="A2" s="2" t="s">
        <v>78</v>
      </c>
      <c r="B2" s="3" t="n">
        <v>10</v>
      </c>
      <c r="C2" s="3" t="n">
        <v>3</v>
      </c>
      <c r="D2" s="3" t="n">
        <v>5</v>
      </c>
      <c r="E2" s="3" t="n">
        <v>1</v>
      </c>
      <c r="F2" s="3" t="n">
        <v>8</v>
      </c>
      <c r="G2" s="3" t="n">
        <v>1</v>
      </c>
      <c r="H2" s="3" t="n">
        <v>1</v>
      </c>
    </row>
    <row r="3" customFormat="false" ht="15" hidden="false" customHeight="false" outlineLevel="0" collapsed="false">
      <c r="A3" s="4" t="s">
        <v>81</v>
      </c>
      <c r="B3" s="5" t="n">
        <v>9</v>
      </c>
      <c r="C3" s="5" t="n">
        <v>2</v>
      </c>
      <c r="D3" s="5" t="n">
        <v>5</v>
      </c>
      <c r="E3" s="5" t="n">
        <v>1</v>
      </c>
      <c r="F3" s="5" t="n">
        <v>7</v>
      </c>
      <c r="G3" s="5" t="n">
        <v>2</v>
      </c>
      <c r="H3" s="5" t="n">
        <v>1</v>
      </c>
    </row>
    <row r="4" customFormat="false" ht="15" hidden="false" customHeight="false" outlineLevel="0" collapsed="false">
      <c r="A4" s="2" t="s">
        <v>461</v>
      </c>
      <c r="B4" s="3" t="n">
        <v>9</v>
      </c>
      <c r="C4" s="3" t="n">
        <v>3</v>
      </c>
      <c r="D4" s="3" t="n">
        <v>5</v>
      </c>
      <c r="E4" s="3" t="n">
        <v>1</v>
      </c>
      <c r="F4" s="3" t="n">
        <v>7</v>
      </c>
      <c r="G4" s="3" t="n">
        <v>2</v>
      </c>
      <c r="H4" s="3" t="n">
        <v>1</v>
      </c>
    </row>
    <row r="5" customFormat="false" ht="15" hidden="false" customHeight="false" outlineLevel="0" collapsed="false">
      <c r="A5" s="4" t="s">
        <v>29</v>
      </c>
      <c r="B5" s="5" t="n">
        <v>9</v>
      </c>
      <c r="C5" s="5" t="n">
        <v>8</v>
      </c>
      <c r="D5" s="5" t="n">
        <v>5</v>
      </c>
      <c r="E5" s="5" t="n">
        <v>2</v>
      </c>
      <c r="F5" s="5" t="n">
        <v>7</v>
      </c>
      <c r="G5" s="5" t="n">
        <v>2</v>
      </c>
      <c r="H5" s="5" t="n">
        <v>2</v>
      </c>
    </row>
    <row r="6" customFormat="false" ht="15" hidden="false" customHeight="false" outlineLevel="0" collapsed="false">
      <c r="A6" s="2" t="s">
        <v>59</v>
      </c>
      <c r="B6" s="3" t="n">
        <v>8</v>
      </c>
      <c r="C6" s="3" t="n">
        <v>5</v>
      </c>
      <c r="D6" s="3" t="n">
        <v>5</v>
      </c>
      <c r="E6" s="3" t="n">
        <v>2</v>
      </c>
      <c r="F6" s="3" t="n">
        <v>7</v>
      </c>
      <c r="G6" s="3" t="n">
        <v>2</v>
      </c>
      <c r="H6" s="3" t="n">
        <v>2</v>
      </c>
    </row>
    <row r="7" customFormat="false" ht="15" hidden="false" customHeight="false" outlineLevel="0" collapsed="false">
      <c r="A7" s="4" t="s">
        <v>14</v>
      </c>
      <c r="B7" s="5" t="n">
        <v>8</v>
      </c>
      <c r="C7" s="5" t="n">
        <v>10</v>
      </c>
      <c r="D7" s="5" t="n">
        <v>5</v>
      </c>
      <c r="E7" s="5" t="n">
        <v>2</v>
      </c>
      <c r="F7" s="5" t="n">
        <v>6</v>
      </c>
      <c r="G7" s="5" t="n">
        <v>2</v>
      </c>
      <c r="H7" s="5" t="n">
        <v>3</v>
      </c>
    </row>
    <row r="8" customFormat="false" ht="15" hidden="false" customHeight="false" outlineLevel="0" collapsed="false">
      <c r="A8" s="2" t="s">
        <v>22</v>
      </c>
      <c r="B8" s="3" t="n">
        <v>7</v>
      </c>
      <c r="C8" s="3" t="n">
        <v>9</v>
      </c>
      <c r="D8" s="3" t="n">
        <v>5</v>
      </c>
      <c r="E8" s="3" t="n">
        <v>3</v>
      </c>
      <c r="F8" s="3" t="n">
        <v>5</v>
      </c>
      <c r="G8" s="3" t="n">
        <v>3</v>
      </c>
      <c r="H8" s="3" t="n">
        <v>3</v>
      </c>
    </row>
    <row r="9" customFormat="false" ht="15" hidden="false" customHeight="false" outlineLevel="0" collapsed="false">
      <c r="A9" s="4" t="s">
        <v>58</v>
      </c>
      <c r="B9" s="5" t="n">
        <v>6</v>
      </c>
      <c r="C9" s="5" t="n">
        <v>6</v>
      </c>
      <c r="D9" s="5" t="n">
        <v>4</v>
      </c>
      <c r="E9" s="5" t="n">
        <v>3</v>
      </c>
      <c r="F9" s="5" t="n">
        <v>5</v>
      </c>
      <c r="G9" s="5" t="n">
        <v>3</v>
      </c>
      <c r="H9" s="5" t="n">
        <v>3</v>
      </c>
    </row>
    <row r="10" customFormat="false" ht="15" hidden="false" customHeight="false" outlineLevel="0" collapsed="false">
      <c r="A10" s="2" t="s">
        <v>47</v>
      </c>
      <c r="B10" s="3" t="n">
        <v>7</v>
      </c>
      <c r="C10" s="3" t="n">
        <v>7</v>
      </c>
      <c r="D10" s="3" t="n">
        <v>5</v>
      </c>
      <c r="E10" s="3" t="n">
        <v>2</v>
      </c>
      <c r="F10" s="3" t="n">
        <v>6</v>
      </c>
      <c r="G10" s="3" t="n">
        <v>2</v>
      </c>
      <c r="H10" s="3" t="n">
        <v>2</v>
      </c>
    </row>
    <row r="11" customFormat="false" ht="15" hidden="false" customHeight="false" outlineLevel="0" collapsed="false">
      <c r="A11" s="4" t="s">
        <v>64</v>
      </c>
      <c r="B11" s="5" t="n">
        <v>7</v>
      </c>
      <c r="C11" s="5" t="n">
        <v>5</v>
      </c>
      <c r="D11" s="5" t="n">
        <v>4</v>
      </c>
      <c r="E11" s="5" t="n">
        <v>3</v>
      </c>
      <c r="F11" s="5" t="n">
        <v>6</v>
      </c>
      <c r="G11" s="5" t="n">
        <v>3</v>
      </c>
      <c r="H11" s="5" t="n">
        <v>3</v>
      </c>
    </row>
    <row r="12" customFormat="false" ht="15" hidden="false" customHeight="false" outlineLevel="0" collapsed="false">
      <c r="A12" s="2" t="s">
        <v>72</v>
      </c>
      <c r="B12" s="3" t="n">
        <v>5</v>
      </c>
      <c r="C12" s="3" t="n">
        <v>4</v>
      </c>
      <c r="D12" s="3" t="n">
        <v>4</v>
      </c>
      <c r="E12" s="3" t="n">
        <v>3</v>
      </c>
      <c r="F12" s="3" t="n">
        <v>4</v>
      </c>
      <c r="G12" s="3" t="n">
        <v>3</v>
      </c>
      <c r="H12" s="3" t="n">
        <v>3</v>
      </c>
    </row>
    <row r="13" customFormat="false" ht="15" hidden="false" customHeight="false" outlineLevel="0" collapsed="false">
      <c r="A13" s="4" t="s">
        <v>55</v>
      </c>
      <c r="B13" s="5" t="n">
        <v>5</v>
      </c>
      <c r="C13" s="5" t="n">
        <v>6</v>
      </c>
      <c r="D13" s="5" t="n">
        <v>4</v>
      </c>
      <c r="E13" s="5" t="n">
        <v>3</v>
      </c>
      <c r="F13" s="5" t="n">
        <v>4</v>
      </c>
      <c r="G13" s="5" t="n">
        <v>3</v>
      </c>
      <c r="H13" s="5" t="n">
        <v>3</v>
      </c>
    </row>
    <row r="14" customFormat="false" ht="15" hidden="false" customHeight="false" outlineLevel="0" collapsed="false">
      <c r="A14" s="2" t="s">
        <v>50</v>
      </c>
      <c r="B14" s="3" t="n">
        <v>4</v>
      </c>
      <c r="C14" s="3" t="n">
        <v>7</v>
      </c>
      <c r="D14" s="3" t="n">
        <v>3</v>
      </c>
      <c r="E14" s="3" t="n">
        <v>4</v>
      </c>
      <c r="F14" s="3" t="n">
        <v>3</v>
      </c>
      <c r="G14" s="3" t="n">
        <v>4</v>
      </c>
      <c r="H14" s="3" t="n">
        <v>4</v>
      </c>
    </row>
    <row r="15" customFormat="false" ht="15" hidden="false" customHeight="false" outlineLevel="0" collapsed="false">
      <c r="A15" s="4" t="s">
        <v>54</v>
      </c>
      <c r="B15" s="5" t="n">
        <v>5</v>
      </c>
      <c r="C15" s="5" t="n">
        <v>6</v>
      </c>
      <c r="D15" s="5" t="n">
        <v>3</v>
      </c>
      <c r="E15" s="5" t="n">
        <v>4</v>
      </c>
      <c r="F15" s="5" t="n">
        <v>4</v>
      </c>
      <c r="G15" s="5" t="n">
        <v>4</v>
      </c>
      <c r="H15" s="5" t="n">
        <v>4</v>
      </c>
    </row>
    <row r="16" customFormat="false" ht="15" hidden="false" customHeight="false" outlineLevel="0" collapsed="false">
      <c r="A16" s="2" t="s">
        <v>44</v>
      </c>
      <c r="B16" s="3" t="n">
        <v>3</v>
      </c>
      <c r="C16" s="3" t="n">
        <v>7</v>
      </c>
      <c r="D16" s="3" t="n">
        <v>3</v>
      </c>
      <c r="E16" s="3" t="n">
        <v>3</v>
      </c>
      <c r="F16" s="3" t="n">
        <v>2</v>
      </c>
      <c r="G16" s="3" t="n">
        <v>4</v>
      </c>
      <c r="H16" s="3" t="n">
        <v>4</v>
      </c>
    </row>
    <row r="17" customFormat="false" ht="15" hidden="false" customHeight="false" outlineLevel="0" collapsed="false">
      <c r="A17" s="4" t="s">
        <v>32</v>
      </c>
      <c r="B17" s="5" t="n">
        <v>2</v>
      </c>
      <c r="C17" s="5" t="n">
        <v>8</v>
      </c>
      <c r="D17" s="5" t="n">
        <v>3</v>
      </c>
      <c r="E17" s="5" t="n">
        <v>5</v>
      </c>
      <c r="F17" s="5" t="n">
        <v>1</v>
      </c>
      <c r="G17" s="5" t="n">
        <v>5</v>
      </c>
      <c r="H17" s="5" t="n">
        <v>5</v>
      </c>
    </row>
    <row r="18" customFormat="false" ht="15" hidden="false" customHeight="false" outlineLevel="0" collapsed="false">
      <c r="A18" s="2" t="s">
        <v>38</v>
      </c>
      <c r="B18" s="3" t="n">
        <v>2</v>
      </c>
      <c r="C18" s="3" t="n">
        <v>7</v>
      </c>
      <c r="D18" s="3" t="n">
        <v>3</v>
      </c>
      <c r="E18" s="3" t="n">
        <v>5</v>
      </c>
      <c r="F18" s="3" t="n">
        <v>1</v>
      </c>
      <c r="G18" s="3" t="n">
        <v>5</v>
      </c>
      <c r="H18" s="3" t="n">
        <v>5</v>
      </c>
    </row>
    <row r="19" customFormat="false" ht="15" hidden="false" customHeight="false" outlineLevel="0" collapsed="false">
      <c r="A19" s="4" t="s">
        <v>541</v>
      </c>
      <c r="B19" s="5" t="n">
        <v>1</v>
      </c>
      <c r="C19" s="5" t="n">
        <v>7</v>
      </c>
      <c r="D19" s="5" t="n">
        <v>4</v>
      </c>
      <c r="E19" s="5" t="n">
        <v>3</v>
      </c>
      <c r="F19" s="5" t="n">
        <v>1</v>
      </c>
      <c r="G19" s="5" t="n">
        <v>4</v>
      </c>
      <c r="H19" s="5" t="n">
        <v>3</v>
      </c>
    </row>
    <row r="20" customFormat="false" ht="15" hidden="false" customHeight="false" outlineLevel="0" collapsed="false">
      <c r="A20" s="2" t="s">
        <v>65</v>
      </c>
      <c r="B20" s="3" t="n">
        <v>2</v>
      </c>
      <c r="C20" s="3" t="n">
        <v>5</v>
      </c>
      <c r="D20" s="3" t="n">
        <v>3</v>
      </c>
      <c r="E20" s="3" t="n">
        <v>3</v>
      </c>
      <c r="F20" s="3" t="n">
        <v>1</v>
      </c>
      <c r="G20" s="3" t="n">
        <v>4</v>
      </c>
      <c r="H20" s="3" t="n">
        <v>4</v>
      </c>
    </row>
    <row r="21" customFormat="false" ht="15" hidden="false" customHeight="false" outlineLevel="0" collapsed="false">
      <c r="A21" s="4" t="s">
        <v>61</v>
      </c>
      <c r="B21" s="5" t="n">
        <v>3</v>
      </c>
      <c r="C21" s="5" t="n">
        <v>5</v>
      </c>
      <c r="D21" s="5" t="n">
        <v>2</v>
      </c>
      <c r="E21" s="5" t="n">
        <v>5</v>
      </c>
      <c r="F21" s="5" t="n">
        <v>2</v>
      </c>
      <c r="G21" s="5" t="n">
        <v>5</v>
      </c>
      <c r="H21" s="5" t="n">
        <v>5</v>
      </c>
    </row>
    <row r="22" customFormat="false" ht="15" hidden="false" customHeight="false" outlineLevel="0" collapsed="false">
      <c r="A22" s="2" t="s">
        <v>69</v>
      </c>
      <c r="B22" s="3" t="n">
        <v>3</v>
      </c>
      <c r="C22" s="3" t="n">
        <v>4</v>
      </c>
      <c r="D22" s="3" t="n">
        <v>2</v>
      </c>
      <c r="E22" s="3" t="n">
        <v>4</v>
      </c>
      <c r="F22" s="3" t="n">
        <v>2</v>
      </c>
      <c r="G22" s="3" t="n">
        <v>5</v>
      </c>
      <c r="H22" s="3" t="n">
        <v>5</v>
      </c>
    </row>
    <row r="23" customFormat="false" ht="15" hidden="false" customHeight="false" outlineLevel="0" collapsed="false">
      <c r="A23" s="4" t="s">
        <v>70</v>
      </c>
      <c r="B23" s="5" t="n">
        <v>2</v>
      </c>
      <c r="C23" s="5" t="n">
        <v>4</v>
      </c>
      <c r="D23" s="5" t="n">
        <v>1</v>
      </c>
      <c r="E23" s="5" t="n">
        <v>5</v>
      </c>
      <c r="F23" s="5" t="n">
        <v>2</v>
      </c>
      <c r="G23" s="5" t="n">
        <v>5</v>
      </c>
      <c r="H23" s="5" t="n">
        <v>5</v>
      </c>
    </row>
    <row r="24" customFormat="false" ht="15" hidden="false" customHeight="false" outlineLevel="0" collapsed="false">
      <c r="A24" s="2" t="s">
        <v>82</v>
      </c>
      <c r="B24" s="3" t="n">
        <v>1</v>
      </c>
      <c r="C24" s="3" t="n">
        <v>2</v>
      </c>
      <c r="D24" s="3" t="n">
        <v>1</v>
      </c>
      <c r="E24" s="3" t="n">
        <v>5</v>
      </c>
      <c r="F24" s="3" t="n">
        <v>1</v>
      </c>
      <c r="G24" s="3" t="n">
        <v>5</v>
      </c>
      <c r="H24" s="3" t="n">
        <v>5</v>
      </c>
    </row>
    <row r="25" customFormat="false" ht="15" hidden="false" customHeight="false" outlineLevel="0" collapsed="false">
      <c r="A25" s="4" t="s">
        <v>86</v>
      </c>
      <c r="B25" s="5" t="n">
        <v>1</v>
      </c>
      <c r="C25" s="5" t="n">
        <v>2</v>
      </c>
      <c r="D25" s="5" t="n">
        <v>1</v>
      </c>
      <c r="E25" s="5" t="n">
        <v>5</v>
      </c>
      <c r="F25" s="5" t="n">
        <v>1</v>
      </c>
      <c r="G25" s="5" t="n">
        <v>5</v>
      </c>
      <c r="H25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542</v>
      </c>
      <c r="B1" s="1" t="s">
        <v>13</v>
      </c>
      <c r="C1" s="1" t="s">
        <v>543</v>
      </c>
      <c r="D1" s="1" t="s">
        <v>91</v>
      </c>
      <c r="E1" s="1" t="s">
        <v>544</v>
      </c>
      <c r="F1" s="1" t="s">
        <v>545</v>
      </c>
      <c r="G1" s="1" t="s">
        <v>546</v>
      </c>
    </row>
    <row r="2" customFormat="false" ht="22.35" hidden="false" customHeight="false" outlineLevel="0" collapsed="false">
      <c r="A2" s="3" t="n">
        <v>1</v>
      </c>
      <c r="B2" s="2" t="s">
        <v>547</v>
      </c>
      <c r="C2" s="2" t="s">
        <v>548</v>
      </c>
      <c r="D2" s="2" t="s">
        <v>97</v>
      </c>
      <c r="E2" s="2" t="s">
        <v>549</v>
      </c>
      <c r="F2" s="2" t="s">
        <v>550</v>
      </c>
      <c r="G2" s="2" t="s">
        <v>551</v>
      </c>
    </row>
    <row r="3" customFormat="false" ht="22.35" hidden="false" customHeight="false" outlineLevel="0" collapsed="false">
      <c r="A3" s="5" t="n">
        <v>2</v>
      </c>
      <c r="B3" s="4" t="s">
        <v>552</v>
      </c>
      <c r="C3" s="4" t="s">
        <v>553</v>
      </c>
      <c r="D3" s="4" t="s">
        <v>208</v>
      </c>
      <c r="E3" s="4" t="s">
        <v>554</v>
      </c>
      <c r="F3" s="4" t="s">
        <v>555</v>
      </c>
      <c r="G3" s="4" t="s">
        <v>556</v>
      </c>
    </row>
    <row r="4" customFormat="false" ht="15" hidden="false" customHeight="false" outlineLevel="0" collapsed="false">
      <c r="A4" s="3" t="n">
        <v>3</v>
      </c>
      <c r="B4" s="2" t="s">
        <v>557</v>
      </c>
      <c r="C4" s="2" t="s">
        <v>548</v>
      </c>
      <c r="D4" s="2" t="s">
        <v>97</v>
      </c>
      <c r="E4" s="2" t="s">
        <v>558</v>
      </c>
      <c r="F4" s="2" t="s">
        <v>559</v>
      </c>
      <c r="G4" s="2" t="s">
        <v>551</v>
      </c>
    </row>
    <row r="5" customFormat="false" ht="22.35" hidden="false" customHeight="false" outlineLevel="0" collapsed="false">
      <c r="A5" s="5" t="n">
        <v>4</v>
      </c>
      <c r="B5" s="4" t="s">
        <v>560</v>
      </c>
      <c r="C5" s="4" t="s">
        <v>68</v>
      </c>
      <c r="D5" s="4" t="s">
        <v>208</v>
      </c>
      <c r="E5" s="4" t="s">
        <v>561</v>
      </c>
      <c r="F5" s="4" t="s">
        <v>562</v>
      </c>
      <c r="G5" s="4" t="s">
        <v>563</v>
      </c>
    </row>
    <row r="6" customFormat="false" ht="15" hidden="false" customHeight="false" outlineLevel="0" collapsed="false">
      <c r="A6" s="3" t="n">
        <v>5</v>
      </c>
      <c r="B6" s="2" t="s">
        <v>564</v>
      </c>
      <c r="C6" s="2" t="s">
        <v>565</v>
      </c>
      <c r="D6" s="2" t="s">
        <v>182</v>
      </c>
      <c r="E6" s="2" t="s">
        <v>566</v>
      </c>
      <c r="F6" s="2" t="s">
        <v>567</v>
      </c>
      <c r="G6" s="2" t="s">
        <v>568</v>
      </c>
    </row>
    <row r="7" customFormat="false" ht="22.35" hidden="false" customHeight="false" outlineLevel="0" collapsed="false">
      <c r="A7" s="5" t="n">
        <v>6</v>
      </c>
      <c r="B7" s="4" t="s">
        <v>569</v>
      </c>
      <c r="C7" s="4" t="s">
        <v>570</v>
      </c>
      <c r="D7" s="4" t="s">
        <v>571</v>
      </c>
      <c r="E7" s="4" t="s">
        <v>572</v>
      </c>
      <c r="F7" s="4" t="s">
        <v>573</v>
      </c>
      <c r="G7" s="4" t="s">
        <v>574</v>
      </c>
    </row>
    <row r="8" customFormat="false" ht="32.8" hidden="false" customHeight="false" outlineLevel="0" collapsed="false">
      <c r="A8" s="3" t="n">
        <v>7</v>
      </c>
      <c r="B8" s="2" t="s">
        <v>575</v>
      </c>
      <c r="C8" s="2" t="s">
        <v>576</v>
      </c>
      <c r="D8" s="2" t="s">
        <v>577</v>
      </c>
      <c r="E8" s="2" t="s">
        <v>578</v>
      </c>
      <c r="F8" s="2" t="s">
        <v>579</v>
      </c>
      <c r="G8" s="2" t="s">
        <v>580</v>
      </c>
    </row>
    <row r="9" customFormat="false" ht="22.35" hidden="false" customHeight="false" outlineLevel="0" collapsed="false">
      <c r="A9" s="5" t="n">
        <v>8</v>
      </c>
      <c r="B9" s="4" t="s">
        <v>581</v>
      </c>
      <c r="C9" s="4" t="s">
        <v>565</v>
      </c>
      <c r="D9" s="4" t="s">
        <v>97</v>
      </c>
      <c r="E9" s="4" t="s">
        <v>582</v>
      </c>
      <c r="F9" s="4" t="s">
        <v>583</v>
      </c>
      <c r="G9" s="4" t="s">
        <v>584</v>
      </c>
    </row>
    <row r="10" customFormat="false" ht="15" hidden="false" customHeight="false" outlineLevel="0" collapsed="false">
      <c r="A10" s="3" t="n">
        <v>9</v>
      </c>
      <c r="B10" s="2" t="s">
        <v>585</v>
      </c>
      <c r="C10" s="2" t="s">
        <v>586</v>
      </c>
      <c r="D10" s="2" t="s">
        <v>379</v>
      </c>
      <c r="E10" s="2" t="s">
        <v>587</v>
      </c>
      <c r="F10" s="2" t="s">
        <v>588</v>
      </c>
      <c r="G10" s="2" t="s">
        <v>589</v>
      </c>
    </row>
    <row r="11" customFormat="false" ht="22.35" hidden="false" customHeight="false" outlineLevel="0" collapsed="false">
      <c r="A11" s="5" t="n">
        <v>10</v>
      </c>
      <c r="B11" s="4" t="s">
        <v>590</v>
      </c>
      <c r="C11" s="4" t="s">
        <v>591</v>
      </c>
      <c r="D11" s="4" t="s">
        <v>97</v>
      </c>
      <c r="E11" s="4" t="s">
        <v>592</v>
      </c>
      <c r="F11" s="4" t="s">
        <v>593</v>
      </c>
      <c r="G11" s="4" t="s">
        <v>594</v>
      </c>
    </row>
    <row r="12" customFormat="false" ht="22.35" hidden="false" customHeight="false" outlineLevel="0" collapsed="false">
      <c r="A12" s="3" t="n">
        <v>11</v>
      </c>
      <c r="B12" s="2" t="s">
        <v>595</v>
      </c>
      <c r="C12" s="2" t="s">
        <v>570</v>
      </c>
      <c r="D12" s="2" t="s">
        <v>596</v>
      </c>
      <c r="E12" s="2" t="s">
        <v>597</v>
      </c>
      <c r="F12" s="2" t="s">
        <v>598</v>
      </c>
      <c r="G12" s="2" t="s">
        <v>599</v>
      </c>
    </row>
    <row r="13" customFormat="false" ht="15" hidden="false" customHeight="false" outlineLevel="0" collapsed="false">
      <c r="A13" s="5" t="n">
        <v>12</v>
      </c>
      <c r="B13" s="4" t="s">
        <v>600</v>
      </c>
      <c r="C13" s="4" t="s">
        <v>570</v>
      </c>
      <c r="D13" s="4" t="s">
        <v>182</v>
      </c>
      <c r="E13" s="4" t="s">
        <v>601</v>
      </c>
      <c r="F13" s="4" t="s">
        <v>602</v>
      </c>
      <c r="G13" s="4" t="s">
        <v>603</v>
      </c>
    </row>
    <row r="14" customFormat="false" ht="22.35" hidden="false" customHeight="false" outlineLevel="0" collapsed="false">
      <c r="A14" s="3" t="n">
        <v>13</v>
      </c>
      <c r="B14" s="2" t="s">
        <v>604</v>
      </c>
      <c r="C14" s="2" t="s">
        <v>576</v>
      </c>
      <c r="D14" s="2" t="s">
        <v>182</v>
      </c>
      <c r="E14" s="2" t="s">
        <v>605</v>
      </c>
      <c r="F14" s="2" t="s">
        <v>606</v>
      </c>
      <c r="G14" s="2" t="s">
        <v>607</v>
      </c>
    </row>
    <row r="15" customFormat="false" ht="15" hidden="false" customHeight="false" outlineLevel="0" collapsed="false">
      <c r="A15" s="5" t="n">
        <v>14</v>
      </c>
      <c r="B15" s="4" t="s">
        <v>608</v>
      </c>
      <c r="C15" s="4" t="s">
        <v>609</v>
      </c>
      <c r="D15" s="4" t="s">
        <v>182</v>
      </c>
      <c r="E15" s="4" t="s">
        <v>610</v>
      </c>
      <c r="F15" s="4" t="s">
        <v>611</v>
      </c>
      <c r="G15" s="4" t="s">
        <v>612</v>
      </c>
    </row>
    <row r="16" customFormat="false" ht="15" hidden="false" customHeight="false" outlineLevel="0" collapsed="false">
      <c r="A16" s="3" t="n">
        <v>15</v>
      </c>
      <c r="B16" s="2" t="s">
        <v>613</v>
      </c>
      <c r="C16" s="2" t="s">
        <v>548</v>
      </c>
      <c r="D16" s="2" t="s">
        <v>182</v>
      </c>
      <c r="E16" s="2" t="s">
        <v>614</v>
      </c>
      <c r="F16" s="2" t="s">
        <v>615</v>
      </c>
      <c r="G16" s="2" t="s">
        <v>616</v>
      </c>
    </row>
    <row r="17" customFormat="false" ht="15" hidden="false" customHeight="false" outlineLevel="0" collapsed="false">
      <c r="A17" s="5" t="n">
        <v>16</v>
      </c>
      <c r="B17" s="4" t="s">
        <v>617</v>
      </c>
      <c r="C17" s="4" t="s">
        <v>618</v>
      </c>
      <c r="D17" s="4" t="s">
        <v>97</v>
      </c>
      <c r="E17" s="4" t="s">
        <v>619</v>
      </c>
      <c r="F17" s="4" t="s">
        <v>620</v>
      </c>
      <c r="G17" s="4" t="s">
        <v>621</v>
      </c>
    </row>
    <row r="18" customFormat="false" ht="15" hidden="false" customHeight="false" outlineLevel="0" collapsed="false">
      <c r="A18" s="3" t="n">
        <v>17</v>
      </c>
      <c r="B18" s="2" t="s">
        <v>622</v>
      </c>
      <c r="C18" s="2" t="s">
        <v>623</v>
      </c>
      <c r="D18" s="2" t="s">
        <v>182</v>
      </c>
      <c r="E18" s="2" t="s">
        <v>624</v>
      </c>
      <c r="F18" s="2" t="s">
        <v>625</v>
      </c>
      <c r="G18" s="2" t="s">
        <v>626</v>
      </c>
    </row>
    <row r="19" customFormat="false" ht="15" hidden="false" customHeight="false" outlineLevel="0" collapsed="false">
      <c r="A19" s="5" t="n">
        <v>18</v>
      </c>
      <c r="B19" s="4" t="s">
        <v>627</v>
      </c>
      <c r="C19" s="4" t="s">
        <v>628</v>
      </c>
      <c r="D19" s="4" t="s">
        <v>629</v>
      </c>
      <c r="E19" s="4" t="s">
        <v>630</v>
      </c>
      <c r="F19" s="4" t="s">
        <v>631</v>
      </c>
      <c r="G19" s="4" t="s">
        <v>632</v>
      </c>
    </row>
    <row r="21" customFormat="false" ht="15" hidden="false" customHeight="false" outlineLevel="0" collapsed="false">
      <c r="A21" s="17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2026-03-28T00:16:11Z</dcterms:created>
  <dc:creator>openpyxl</dc:creator>
  <dc:description/>
  <dc:language>en-US</dc:language>
  <cp:lastModifiedBy/>
  <dcterms:modified xsi:type="dcterms:W3CDTF">2026-03-28T00:16:12Z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