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velo_Observed_Exposure" sheetId="1" state="visible" r:id="rId3"/>
    <sheet name="2_Brecha_Teorico_vs_Real" sheetId="2" state="visible" r:id="rId4"/>
    <sheet name="3_Scatter_Exposure_vs_Growth" sheetId="3" state="visible" r:id="rId5"/>
    <sheet name="4_Impacto_Jovenes_22-25" sheetId="4" state="visible" r:id="rId6"/>
    <sheet name="5_Tabla_Maestra_Integrada" sheetId="5" state="visible" r:id="rId7"/>
    <sheet name="6_Comparativa_Estud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<sst xmlns="http://schemas.openxmlformats.org/spreadsheetml/2006/main" count="883" uniqueCount="572">
  <si>
    <t xml:space="preserve">Ocupación / Categoría</t>
  </si>
  <si>
    <t xml:space="preserve">Categoría BLS</t>
  </si>
  <si>
    <t xml:space="preserve">Exposición
Teórica (β)
Eloundou</t>
  </si>
  <si>
    <t xml:space="preserve">Exposición
Observada
(Reveló/Anthropic)</t>
  </si>
  <si>
    <t xml:space="preserve">Gap
Teórico-Real</t>
  </si>
  <si>
    <t xml:space="preserve">Crecimiento
BLS Proyectado
2024-2034 (%)</t>
  </si>
  <si>
    <t xml:space="preserve">Efecto por cada
+10pp exposición
(pp crecimiento)</t>
  </si>
  <si>
    <t xml:space="preserve">Impacto Jóvenes
22-25 años
(contratación)</t>
  </si>
  <si>
    <t xml:space="preserve">Demografía
% más probable
ser expuesto</t>
  </si>
  <si>
    <t xml:space="preserve">Fuente / Estudio</t>
  </si>
  <si>
    <t xml:space="preserve">Computer Programmers</t>
  </si>
  <si>
    <t xml:space="preserve">Computer &amp; Math</t>
  </si>
  <si>
    <t xml:space="preserve">Negativo</t>
  </si>
  <si>
    <t xml:space="preserve">SÍ — desaceleración visible</t>
  </si>
  <si>
    <t xml:space="preserve">Más educados, mayor salario (+47%), 4x más con postgrado</t>
  </si>
  <si>
    <t xml:space="preserve">Anthropic/Reveló Mar 2026 | Fig. 3</t>
  </si>
  <si>
    <t xml:space="preserve">Customer Service Representatives</t>
  </si>
  <si>
    <t xml:space="preserve">Office &amp; Admin</t>
  </si>
  <si>
    <t xml:space="preserve">Muy negativo</t>
  </si>
  <si>
    <t xml:space="preserve">Mayores chances: mujer (+16pp), blanca (+11pp), asiática (2x)</t>
  </si>
  <si>
    <t xml:space="preserve">Data Entry Keyers</t>
  </si>
  <si>
    <t xml:space="preserve">Alta proporción femenina; nivel medio de educación</t>
  </si>
  <si>
    <t xml:space="preserve">Software Developers</t>
  </si>
  <si>
    <t xml:space="preserve">Moderado</t>
  </si>
  <si>
    <t xml:space="preserve">SÍ — desaceleración leve</t>
  </si>
  <si>
    <t xml:space="preserve">Alto nivel educativo, mayor salario; proyección de crecimiento positivo pero lento</t>
  </si>
  <si>
    <t xml:space="preserve">Anthropic/Reveló Mar 2026 | Fig. 4 (etiquetado)</t>
  </si>
  <si>
    <t xml:space="preserve">Accountants / Contadores</t>
  </si>
  <si>
    <t xml:space="preserve">Business &amp; Finance</t>
  </si>
  <si>
    <t xml:space="preserve">Evidencia preliminar</t>
  </si>
  <si>
    <t xml:space="preserve">Nivel educativo alto; mayoría femenina en roles de apoyo</t>
  </si>
  <si>
    <t xml:space="preserve">Anthropic/Reveló Mar 2026 | Fig. 4</t>
  </si>
  <si>
    <t xml:space="preserve">Lawyers / Abogados</t>
  </si>
  <si>
    <t xml:space="preserve">Legal</t>
  </si>
  <si>
    <t xml:space="preserve">Bajo</t>
  </si>
  <si>
    <t xml:space="preserve">Evidencia mixta</t>
  </si>
  <si>
    <t xml:space="preserve">Alto nivel educativo; mayoría masculina; salarios elevados</t>
  </si>
  <si>
    <t xml:space="preserve">Cashiers / Cajeros</t>
  </si>
  <si>
    <t xml:space="preserve">Sí — caída proyectada</t>
  </si>
  <si>
    <t xml:space="preserve">Nivel educativo bajo; alta proporción femenina; bajos salarios</t>
  </si>
  <si>
    <t xml:space="preserve">Business &amp; Finance (categoría)</t>
  </si>
  <si>
    <t xml:space="preserve">Nivel educativo alto; alta proporción femenina (+16pp vs. no expuestos)</t>
  </si>
  <si>
    <t xml:space="preserve">Anthropic/Reveló Mar 2026 | Fig. 2</t>
  </si>
  <si>
    <t xml:space="preserve">Computer &amp; Math (categoría)</t>
  </si>
  <si>
    <t xml:space="preserve">Alto</t>
  </si>
  <si>
    <t xml:space="preserve">SÍ — desaceleración jóvenes</t>
  </si>
  <si>
    <t xml:space="preserve">4.5x más probabilidad postgrado vs. no expuestos</t>
  </si>
  <si>
    <t xml:space="preserve">Office &amp; Admin (categoría)</t>
  </si>
  <si>
    <t xml:space="preserve">Muy alto</t>
  </si>
  <si>
    <t xml:space="preserve">SÍ — efecto más claro</t>
  </si>
  <si>
    <t xml:space="preserve">Mayoría femenina; nivel educativo medio-bajo</t>
  </si>
  <si>
    <t xml:space="preserve">Legal (categoría)</t>
  </si>
  <si>
    <t xml:space="preserve">Alta educación; mayor salario; lenta adopción práctica</t>
  </si>
  <si>
    <t xml:space="preserve">Arts &amp; Media (categoría)</t>
  </si>
  <si>
    <t xml:space="preserve">Arts &amp; Media</t>
  </si>
  <si>
    <t xml:space="preserve">Sí — freelance muy afectado (Hui et al.)</t>
  </si>
  <si>
    <t xml:space="preserve">Amplia variación; freelance más vulnerable que empleo formal</t>
  </si>
  <si>
    <t xml:space="preserve">Sales (categoría)</t>
  </si>
  <si>
    <t xml:space="preserve">Sales</t>
  </si>
  <si>
    <t xml:space="preserve">Amplio rango; ventas complejas menos expuestas</t>
  </si>
  <si>
    <t xml:space="preserve">Agriculture / Physical Labor</t>
  </si>
  <si>
    <t xml:space="preserve">Manual / Física</t>
  </si>
  <si>
    <t xml:space="preserve">Nulo</t>
  </si>
  <si>
    <t xml:space="preserve">No — mínimo impacto</t>
  </si>
  <si>
    <t xml:space="preserve">Nivel educativo bajo; trabajo físico presencial</t>
  </si>
  <si>
    <t xml:space="preserve">Cooks, Mechanics, Lifeguards</t>
  </si>
  <si>
    <t xml:space="preserve">No</t>
  </si>
  <si>
    <t xml:space="preserve">Sin cobertura observable en datos Claude</t>
  </si>
  <si>
    <t xml:space="preserve">Anthropic/Reveló Mar 2026 — 30% workers zero coverage</t>
  </si>
  <si>
    <t xml:space="preserve">DATO CLAVE: Trabajadores con cobertura CERO</t>
  </si>
  <si>
    <t xml:space="preserve">General</t>
  </si>
  <si>
    <t xml:space="preserve">N/A</t>
  </si>
  <si>
    <t xml:space="preserve">30% de todos los trabajadores EEUU = zero AI coverage</t>
  </si>
  <si>
    <t xml:space="preserve">Anthropic/Reveló Mar 2026 — hallazgo principal</t>
  </si>
  <si>
    <t xml:space="preserve">DATO CLAVE: Trabajadores con ≥1 tarea expuesta</t>
  </si>
  <si>
    <t xml:space="preserve">~80% US workers tienen ≥10% tareas expuestas (Eloundou 2024)</t>
  </si>
  <si>
    <t xml:space="preserve">Eloundou et al. 2023/2024</t>
  </si>
  <si>
    <t xml:space="preserve">DATO CLAVE: Tareas β=1 que representan uso Claude</t>
  </si>
  <si>
    <t xml:space="preserve">68% del uso de Claude viene de tareas teóricamente β=1</t>
  </si>
  <si>
    <t xml:space="preserve">Anthropic Economic Index / Fig. 1</t>
  </si>
  <si>
    <t xml:space="preserve">DATO CLAVE: Tareas β=0 en uso Claude</t>
  </si>
  <si>
    <t xml:space="preserve">Solo 3% del uso Claude viene de tareas marcadas como no-factibles</t>
  </si>
  <si>
    <t xml:space="preserve">DATO CLAVE: Impacto por 10pp más de exposición</t>
  </si>
  <si>
    <t xml:space="preserve">Por cada 10pp de mayor exposición observada → proyección BLS cae 0.6pp</t>
  </si>
  <si>
    <t xml:space="preserve">Anthropic/Reveló regresión Fig. 4</t>
  </si>
  <si>
    <t xml:space="preserve">DATO CLAVE: Jóvenes 22-25 en ocupaciones expuestas</t>
  </si>
  <si>
    <t xml:space="preserve">Jóvenes</t>
  </si>
  <si>
    <t xml:space="preserve">Declinando</t>
  </si>
  <si>
    <t xml:space="preserve">Sí — desaceleración</t>
  </si>
  <si>
    <t xml:space="preserve">Hiring de jóvenes en ocupaciones expuestas se ha desacelerado</t>
  </si>
  <si>
    <t xml:space="preserve">Brynjolfsson et al. 2025 / Anthropic Reveló</t>
  </si>
  <si>
    <t xml:space="preserve">DATO CLAVE: Desempleo sistemático en expuestos</t>
  </si>
  <si>
    <t xml:space="preserve">NO encontrado</t>
  </si>
  <si>
    <t xml:space="preserve">Sin aumento sistemático de desempleo en expuestos (aún)</t>
  </si>
  <si>
    <t xml:space="preserve">Anthropic/Reveló Mar 2026 — hallazgo central</t>
  </si>
  <si>
    <t xml:space="preserve">Categoría Ocupacional</t>
  </si>
  <si>
    <t xml:space="preserve">Exposición Teórica
(β Eloundou)
% tareas</t>
  </si>
  <si>
    <t xml:space="preserve">Exposición Observada
(Anthropic/Reveló)
% tareas</t>
  </si>
  <si>
    <t xml:space="preserve">Gap
Absoluto
(pp)</t>
  </si>
  <si>
    <t xml:space="preserve">Gap
Relativo (%)</t>
  </si>
  <si>
    <t xml:space="preserve">BLS Proyec.
Crecimiento
2024-2034</t>
  </si>
  <si>
    <t xml:space="preserve">Interpretación Ecuador</t>
  </si>
  <si>
    <t xml:space="preserve">Sector equiv. Ecuador</t>
  </si>
  <si>
    <t xml:space="preserve">Fuente</t>
  </si>
  <si>
    <t xml:space="preserve">Alta exposición teórica pero adopción lenta → margen 3-5 años Ecuador</t>
  </si>
  <si>
    <t xml:space="preserve">Economía, Finanzas, Contabilidad EC</t>
  </si>
  <si>
    <t xml:space="preserve">Anthropic/Reveló Fig.2 Mar2026</t>
  </si>
  <si>
    <t xml:space="preserve">Gap enorme: capacidad IA muy alta, uso real bajo → oportunidad formación EC</t>
  </si>
  <si>
    <t xml:space="preserve">Ing. Software, Sistemas, Computación EC</t>
  </si>
  <si>
    <t xml:space="preserve">Mayor gap = mayor riesgo cuando brecha se cierre (2027-2030 Ecuador)</t>
  </si>
  <si>
    <t xml:space="preserve">Secretariado, Asistentes, Data Entry EC</t>
  </si>
  <si>
    <t xml:space="preserve">Adopción práctica muy baja a pesar de alta factibilidad. Harvey llegará a EC ~2028</t>
  </si>
  <si>
    <t xml:space="preserve">Derecho / Abogacía Ecuador</t>
  </si>
  <si>
    <t xml:space="preserve">Freelance ya afectado (Hui 2024). Diseño/Foto Ecuador ya en riesgo 2026</t>
  </si>
  <si>
    <t xml:space="preserve">Diseño Gráfico, Fotografía, Comunicación EC</t>
  </si>
  <si>
    <t xml:space="preserve">Anthropic/Reveló Fig.2 Mar2026 / Hui et al.</t>
  </si>
  <si>
    <t xml:space="preserve">Adopción baja; ventas complejas resistentes. Marketing digital EC ~2029</t>
  </si>
  <si>
    <t xml:space="preserve">Marketing, Publicidad, Ventas EC</t>
  </si>
  <si>
    <t xml:space="preserve">Manual / Agrícola / Física</t>
  </si>
  <si>
    <t xml:space="preserve">Sin riesgo detectable. Oficios técnicos seguros hasta 2038+</t>
  </si>
  <si>
    <t xml:space="preserve">Ing. Civil campo, Mecánica, Electricidad EC</t>
  </si>
  <si>
    <t xml:space="preserve">Anthropic/Reveló Mar2026</t>
  </si>
  <si>
    <t xml:space="preserve">[RADAR] Business &amp; Finance — Teórico</t>
  </si>
  <si>
    <t xml:space="preserve">Para gráfico radar como en imagen 3</t>
  </si>
  <si>
    <t xml:space="preserve">Reveló Fig.2 Radar original</t>
  </si>
  <si>
    <t xml:space="preserve">[RADAR] Computer &amp; Math — Teórico</t>
  </si>
  <si>
    <t xml:space="preserve">[RADAR] Office &amp; Admin — Teórico</t>
  </si>
  <si>
    <t xml:space="preserve">[RADAR] Legal — Teórico</t>
  </si>
  <si>
    <t xml:space="preserve">[RADAR] Arts &amp; Media — Teórico</t>
  </si>
  <si>
    <t xml:space="preserve">[RADAR] Sales — Teórico</t>
  </si>
  <si>
    <t xml:space="preserve">[RADAR] Business &amp; Finance — Observado</t>
  </si>
  <si>
    <t xml:space="preserve">[RADAR] Computer &amp; Math — Observado</t>
  </si>
  <si>
    <t xml:space="preserve">[RADAR] Office &amp; Admin — Observado</t>
  </si>
  <si>
    <t xml:space="preserve">[RADAR] Legal — Observado</t>
  </si>
  <si>
    <t xml:space="preserve">[RADAR] Arts &amp; Media — Observado</t>
  </si>
  <si>
    <t xml:space="preserve">[RADAR] Sales — Observado</t>
  </si>
  <si>
    <t xml:space="preserve">Ocupación</t>
  </si>
  <si>
    <t xml:space="preserve">Exposición Observada
(eje X Reveló)</t>
  </si>
  <si>
    <t xml:space="preserve">Crecimiento BLS
Proyectado 2024-2034
(eje Y %)</t>
  </si>
  <si>
    <t xml:space="preserve">Tamaño Empleo
Actual (miles)</t>
  </si>
  <si>
    <t xml:space="preserve">Categoría</t>
  </si>
  <si>
    <t xml:space="preserve">Equiv. Ecuador</t>
  </si>
  <si>
    <t xml:space="preserve">Impacto Jóvenes</t>
  </si>
  <si>
    <t xml:space="preserve">Ing. de Software EC</t>
  </si>
  <si>
    <t xml:space="preserve">Desaceleración leve contratación jóvenes</t>
  </si>
  <si>
    <t xml:space="preserve">Reveló Fig.4 / BLS 2025</t>
  </si>
  <si>
    <t xml:space="preserve">Accountants</t>
  </si>
  <si>
    <t xml:space="preserve">Contabilidad EC</t>
  </si>
  <si>
    <t xml:space="preserve">Lawyers</t>
  </si>
  <si>
    <t xml:space="preserve">Derecho EC</t>
  </si>
  <si>
    <t xml:space="preserve">Customer Service Reps</t>
  </si>
  <si>
    <t xml:space="preserve">Atención cliente EC</t>
  </si>
  <si>
    <t xml:space="preserve">SÍ — notable</t>
  </si>
  <si>
    <t xml:space="preserve">Cashiers</t>
  </si>
  <si>
    <t xml:space="preserve">Cajeros / Servicios EC</t>
  </si>
  <si>
    <t xml:space="preserve">Digitadores EC</t>
  </si>
  <si>
    <t xml:space="preserve">SÍ — alta</t>
  </si>
  <si>
    <t xml:space="preserve">Programadores EC</t>
  </si>
  <si>
    <t xml:space="preserve">SÍ — clara</t>
  </si>
  <si>
    <t xml:space="preserve">Graphic Designers</t>
  </si>
  <si>
    <t xml:space="preserve">Diseño Gráfico EC</t>
  </si>
  <si>
    <t xml:space="preserve">SÍ — freelance muy afectado</t>
  </si>
  <si>
    <t xml:space="preserve">Reveló Fig.4 / Hui 2024</t>
  </si>
  <si>
    <t xml:space="preserve">Writers / Authors</t>
  </si>
  <si>
    <t xml:space="preserve">Comunicación Social EC</t>
  </si>
  <si>
    <t xml:space="preserve">SÍ — evidente</t>
  </si>
  <si>
    <t xml:space="preserve">Reveló Fig.4</t>
  </si>
  <si>
    <t xml:space="preserve">Financial Analysts</t>
  </si>
  <si>
    <t xml:space="preserve">Economía / Finanzas EC</t>
  </si>
  <si>
    <t xml:space="preserve">Preliminar</t>
  </si>
  <si>
    <t xml:space="preserve">Paralegals</t>
  </si>
  <si>
    <t xml:space="preserve">Asistentes legales EC</t>
  </si>
  <si>
    <t xml:space="preserve">Sí — crecimiento lento</t>
  </si>
  <si>
    <t xml:space="preserve">Medical Records Technicians</t>
  </si>
  <si>
    <t xml:space="preserve">Healthcare Support</t>
  </si>
  <si>
    <t xml:space="preserve">Registros médicos EC</t>
  </si>
  <si>
    <t xml:space="preserve">Insurance Underwriters</t>
  </si>
  <si>
    <t xml:space="preserve">Actuaría / Seguros EC</t>
  </si>
  <si>
    <t xml:space="preserve">Sí</t>
  </si>
  <si>
    <t xml:space="preserve">Tax Preparers</t>
  </si>
  <si>
    <t xml:space="preserve">Contadores impuestos EC</t>
  </si>
  <si>
    <t xml:space="preserve">Alta</t>
  </si>
  <si>
    <t xml:space="preserve">Translators / Interpreters</t>
  </si>
  <si>
    <t xml:space="preserve">Idiomas / Traducción EC</t>
  </si>
  <si>
    <t xml:space="preserve">Registered Nurses</t>
  </si>
  <si>
    <t xml:space="preserve">Healthcare</t>
  </si>
  <si>
    <t xml:space="preserve">Enfermería EC</t>
  </si>
  <si>
    <t xml:space="preserve">Mínimo</t>
  </si>
  <si>
    <t xml:space="preserve">BLS 2025</t>
  </si>
  <si>
    <t xml:space="preserve">Teachers (K-12)</t>
  </si>
  <si>
    <t xml:space="preserve">Education</t>
  </si>
  <si>
    <t xml:space="preserve">Educación EC</t>
  </si>
  <si>
    <t xml:space="preserve">Civil Engineers</t>
  </si>
  <si>
    <t xml:space="preserve">Architecture &amp; Engineering</t>
  </si>
  <si>
    <t xml:space="preserve">Ing. Civil EC</t>
  </si>
  <si>
    <t xml:space="preserve">Cooks</t>
  </si>
  <si>
    <t xml:space="preserve">Food Prep</t>
  </si>
  <si>
    <t xml:space="preserve">Gastronomía EC</t>
  </si>
  <si>
    <t xml:space="preserve">Reveló (zero coverage)</t>
  </si>
  <si>
    <t xml:space="preserve">Electricians</t>
  </si>
  <si>
    <t xml:space="preserve">Installation &amp; Repair</t>
  </si>
  <si>
    <t xml:space="preserve">Electricidad EC</t>
  </si>
  <si>
    <t xml:space="preserve">REGRESIÓN: por cada +10pp exposición</t>
  </si>
  <si>
    <t xml:space="preserve">10pp</t>
  </si>
  <si>
    <t xml:space="preserve">-0.6pp</t>
  </si>
  <si>
    <t xml:space="preserve">Todos</t>
  </si>
  <si>
    <t xml:space="preserve">Reveló/Anthropic regresión Fig.4 — relación estadística clave</t>
  </si>
  <si>
    <t xml:space="preserve">Indicador / Hallazgo</t>
  </si>
  <si>
    <t xml:space="preserve">Valor</t>
  </si>
  <si>
    <t xml:space="preserve">Período</t>
  </si>
  <si>
    <t xml:space="preserve">Grupo</t>
  </si>
  <si>
    <t xml:space="preserve">Metodología</t>
  </si>
  <si>
    <t xml:space="preserve">Comparación con Ecuador</t>
  </si>
  <si>
    <t xml:space="preserve">Tasa desempleo ocupaciones MENOS expuestas (pico COVID 2020)</t>
  </si>
  <si>
    <t xml:space="preserve">~16%</t>
  </si>
  <si>
    <t xml:space="preserve">2020</t>
  </si>
  <si>
    <t xml:space="preserve">Jóvenes en ocupaciones no expuestas</t>
  </si>
  <si>
    <t xml:space="preserve">CPS survey EEUU</t>
  </si>
  <si>
    <t xml:space="preserve">Ecuador: 9.5% general juvenil 2024 sin pico COVID claro</t>
  </si>
  <si>
    <t xml:space="preserve">Reveló/Anthropic Fig. (imagen 1)</t>
  </si>
  <si>
    <t xml:space="preserve">Tasa desempleo ocupaciones MÁS expuestas (pico COVID 2020)</t>
  </si>
  <si>
    <t xml:space="preserve">~10%</t>
  </si>
  <si>
    <t xml:space="preserve">Jóvenes en ocupaciones más expuestas</t>
  </si>
  <si>
    <t xml:space="preserve">Las expuestas paradojalmente tuvieron MENOS desempleo en COVID</t>
  </si>
  <si>
    <t xml:space="preserve">Tasa desempleo ocupaciones MENOS expuestas (2024-2025)</t>
  </si>
  <si>
    <t xml:space="preserve">~6%</t>
  </si>
  <si>
    <t xml:space="preserve">2024-2025</t>
  </si>
  <si>
    <t xml:space="preserve">Trabajadores menos expuestos</t>
  </si>
  <si>
    <t xml:space="preserve">Referencia comparativa Ecuador</t>
  </si>
  <si>
    <t xml:space="preserve">Tasa desempleo ocupaciones MÁS expuestas (2024-2025)</t>
  </si>
  <si>
    <t xml:space="preserve">~4%</t>
  </si>
  <si>
    <t xml:space="preserve">Trabajadores más expuestos</t>
  </si>
  <si>
    <t xml:space="preserve">Sin diferencia sistemática aún</t>
  </si>
  <si>
    <t xml:space="preserve">Efecto neto en desempleo (exposed vs. non-exposed)</t>
  </si>
  <si>
    <t xml:space="preserve">~0.00 a -0.08</t>
  </si>
  <si>
    <t xml:space="preserve">2016-2024</t>
  </si>
  <si>
    <t xml:space="preserve">Diferencial</t>
  </si>
  <si>
    <t xml:space="preserve">Diff-in-Diff CPS</t>
  </si>
  <si>
    <t xml:space="preserve">El efecto es NEGATIVO o neutro — no positivo en desempleo</t>
  </si>
  <si>
    <t xml:space="preserve">Reveló/Anthropic Fig. (imagen 1 — panel inferior)</t>
  </si>
  <si>
    <t xml:space="preserve">Caída brusca en efecto (pico 2020)</t>
  </si>
  <si>
    <t xml:space="preserve">~-0.08 a -0.10</t>
  </si>
  <si>
    <t xml:space="preserve">Diferencial COVID</t>
  </si>
  <si>
    <t xml:space="preserve">Dist en desempleo</t>
  </si>
  <si>
    <t xml:space="preserve">Efecto COVID dominó la señal IA</t>
  </si>
  <si>
    <t xml:space="preserve">Tendencia post 2022 en efecto empleo</t>
  </si>
  <si>
    <t xml:space="preserve">~0.00</t>
  </si>
  <si>
    <t xml:space="preserve">2022-2025</t>
  </si>
  <si>
    <t xml:space="preserve">Diferencial post-ChatGPT</t>
  </si>
  <si>
    <t xml:space="preserve">Diff-in-Diff</t>
  </si>
  <si>
    <t xml:space="preserve">Sin señal clara de desplazamiento aún en EEUU</t>
  </si>
  <si>
    <t xml:space="preserve">Desaceleración de contratación en jóvenes 22-25 expuestos</t>
  </si>
  <si>
    <t xml:space="preserve">Sí — evidencia sugestiva</t>
  </si>
  <si>
    <t xml:space="preserve">2023-2025</t>
  </si>
  <si>
    <t xml:space="preserve">Jóvenes 22-25 años</t>
  </si>
  <si>
    <t xml:space="preserve">ADP payroll data (Brynjolfsson)</t>
  </si>
  <si>
    <t xml:space="preserve">Ecuador: jóvenes 18-29 ya con 9.5% desempleo → riesgo adicional IA</t>
  </si>
  <si>
    <t xml:space="preserve">Brynjolfsson et al. 2025 / Reveló</t>
  </si>
  <si>
    <t xml:space="preserve">Software dev, customer service, clerical — más afectados jóvenes</t>
  </si>
  <si>
    <t xml:space="preserve">Jóvenes entry-level</t>
  </si>
  <si>
    <t xml:space="preserve">ADP payroll data</t>
  </si>
  <si>
    <t xml:space="preserve">En Ecuador: admin, servicio al cliente, digitadores = roles de inicio</t>
  </si>
  <si>
    <t xml:space="preserve">Stanford Digital Econ Lab / Brynjolfsson 2025</t>
  </si>
  <si>
    <t xml:space="preserve">Trabajadores más expuestos son más educados (+postgrado 4x)</t>
  </si>
  <si>
    <t xml:space="preserve">4.5x más con postgrado</t>
  </si>
  <si>
    <t xml:space="preserve">Pre-ChatGPT</t>
  </si>
  <si>
    <t xml:space="preserve">Top quartile exposed</t>
  </si>
  <si>
    <t xml:space="preserve">CPS demog.</t>
  </si>
  <si>
    <t xml:space="preserve">En Ecuador los mejor formados también son los más vulnerables en ciertas carreras</t>
  </si>
  <si>
    <t xml:space="preserve">Reveló/Anthropic Fig.5</t>
  </si>
  <si>
    <t xml:space="preserve">Trabajadores más expuestos ganan más (+47% salario)</t>
  </si>
  <si>
    <t xml:space="preserve">47% más</t>
  </si>
  <si>
    <t xml:space="preserve">Paradoja: la IA amenaza más al segmento de mayor salario y educación formal</t>
  </si>
  <si>
    <t xml:space="preserve">Trabajadores más expuestos son más mujeres (+16pp)</t>
  </si>
  <si>
    <t xml:space="preserve">16 puntos porcentuales más</t>
  </si>
  <si>
    <t xml:space="preserve">Top quartile vs. zero exposed</t>
  </si>
  <si>
    <t xml:space="preserve">En Ecuador: contabilidad, secretariado, comunicación = mayoría femenina</t>
  </si>
  <si>
    <t xml:space="preserve">Trabajadores más expuestos son más blancos/asiáticos</t>
  </si>
  <si>
    <t xml:space="preserve">Asiáticos: 2x más presentes</t>
  </si>
  <si>
    <t xml:space="preserve">Top quartile vs. zero</t>
  </si>
  <si>
    <t xml:space="preserve">En Ecuador: correlación inversa — jóvenes de clase media más vulnerables</t>
  </si>
  <si>
    <t xml:space="preserve">Freelancers en Upwork: caída tras lanzamiento ChatGPT/imagen IA</t>
  </si>
  <si>
    <t xml:space="preserve">Caída significativa en categorías afectadas</t>
  </si>
  <si>
    <t xml:space="preserve">2023</t>
  </si>
  <si>
    <t xml:space="preserve">Freelancers en plataformas</t>
  </si>
  <si>
    <t xml:space="preserve">DiD natural experiment (Hui 2024)</t>
  </si>
  <si>
    <t xml:space="preserve">En Ecuador: estudiantes y recién graduados usan freelance → riesgo inmediato</t>
  </si>
  <si>
    <t xml:space="preserve">Hui et al. 2024</t>
  </si>
  <si>
    <t xml:space="preserve">Cambio mix ocupacional post-ChatGPT vs. era internet/computadoras</t>
  </si>
  <si>
    <t xml:space="preserve">Similar al pasado — no acelerado</t>
  </si>
  <si>
    <t xml:space="preserve">Nacional EEUU</t>
  </si>
  <si>
    <t xml:space="preserve">Comparación histórica</t>
  </si>
  <si>
    <t xml:space="preserve">Indica que Ecuador tiene tiempo de adaptación — no es apocalíptico inmediato</t>
  </si>
  <si>
    <t xml:space="preserve">Budget Lab Yale / Gimbel 2025</t>
  </si>
  <si>
    <t xml:space="preserve">No hay disrupción agregada aún en mercado laboral EEUU</t>
  </si>
  <si>
    <t xml:space="preserve">Sin señal en datos agregados</t>
  </si>
  <si>
    <t xml:space="preserve">Nov 2025</t>
  </si>
  <si>
    <t xml:space="preserve">CPS + ADP multi-fuente</t>
  </si>
  <si>
    <t xml:space="preserve">Importante para Ecuador: el impacto será gradual, no shock repentino</t>
  </si>
  <si>
    <t xml:space="preserve">Budget Lab Yale Dec 2025</t>
  </si>
  <si>
    <t xml:space="preserve">Ecuador — Desempleo juvenil general</t>
  </si>
  <si>
    <t xml:space="preserve">9.5%</t>
  </si>
  <si>
    <t xml:space="preserve">2024</t>
  </si>
  <si>
    <t xml:space="preserve">18-29 años</t>
  </si>
  <si>
    <t xml:space="preserve">INEC</t>
  </si>
  <si>
    <t xml:space="preserve">Ya muy alto sin el efecto IA — cualquier presión adicional es grave</t>
  </si>
  <si>
    <t xml:space="preserve">INEC 2024</t>
  </si>
  <si>
    <t xml:space="preserve">Ecuador — Tiempo promedio para encontrar empleo post-graduación</t>
  </si>
  <si>
    <t xml:space="preserve">8 meses</t>
  </si>
  <si>
    <t xml:space="preserve">Graduados universitarios</t>
  </si>
  <si>
    <t xml:space="preserve">Children Int'l</t>
  </si>
  <si>
    <t xml:space="preserve">Con IA, este tiempo puede extenderse en carreras expuestas</t>
  </si>
  <si>
    <t xml:space="preserve">Children Int'l / La Hora 2026</t>
  </si>
  <si>
    <t xml:space="preserve">Ecuador — Jóvenes en sector informal</t>
  </si>
  <si>
    <t xml:space="preserve">47.5%</t>
  </si>
  <si>
    <t xml:space="preserve">Hombres jóvenes</t>
  </si>
  <si>
    <t xml:space="preserve">Informalidad como 'colchón' frente al desempleo IA — pero inestable</t>
  </si>
  <si>
    <t xml:space="preserve">Ecuador — 67% empleadores ven falta de habilidades en graduados</t>
  </si>
  <si>
    <t xml:space="preserve">67%</t>
  </si>
  <si>
    <t xml:space="preserve">Empleadores EC</t>
  </si>
  <si>
    <t xml:space="preserve">Combinado con IA: graduados en carreras expuestas pierden ventaja competitiva</t>
  </si>
  <si>
    <t xml:space="preserve">Carrera / Ocupación</t>
  </si>
  <si>
    <t xml:space="preserve">País/Contexto</t>
  </si>
  <si>
    <t xml:space="preserve">% Automatizable
(Oxford/Frey)</t>
  </si>
  <si>
    <t xml:space="preserve">% Automatizable
(McKinsey GenAI)</t>
  </si>
  <si>
    <t xml:space="preserve">Crecimiento
Empleo
BLS 2024-34</t>
  </si>
  <si>
    <t xml:space="preserve">Riesgo IA
(1-10)</t>
  </si>
  <si>
    <t xml:space="preserve">Año Obs.
Parcial
Ecuador</t>
  </si>
  <si>
    <t xml:space="preserve">Graduados
Ecuador
2024</t>
  </si>
  <si>
    <t xml:space="preserve">Impacto
Jóvenes</t>
  </si>
  <si>
    <t xml:space="preserve">Categoría
Riesgo Final</t>
  </si>
  <si>
    <t xml:space="preserve">Fuente Principal</t>
  </si>
  <si>
    <t xml:space="preserve">Fotografía</t>
  </si>
  <si>
    <t xml:space="preserve">Ecuador / Global</t>
  </si>
  <si>
    <t xml:space="preserve">-12%</t>
  </si>
  <si>
    <t xml:space="preserve">ALTA</t>
  </si>
  <si>
    <t xml:space="preserve">CRÍTICO</t>
  </si>
  <si>
    <t xml:space="preserve">Reveló+Oxford+Xataka2026</t>
  </si>
  <si>
    <t xml:space="preserve">Data Entry / Digitación</t>
  </si>
  <si>
    <t xml:space="preserve">Ecuador / EEUU</t>
  </si>
  <si>
    <t xml:space="preserve">Reveló Fig.3 (67% coverage) + Oxford</t>
  </si>
  <si>
    <t xml:space="preserve">Diseño de Moda</t>
  </si>
  <si>
    <t xml:space="preserve">Ecuador / China</t>
  </si>
  <si>
    <t xml:space="preserve">-8%</t>
  </si>
  <si>
    <t xml:space="preserve">Oxford + Xataka/China2026</t>
  </si>
  <si>
    <t xml:space="preserve">Artes Visuales</t>
  </si>
  <si>
    <t xml:space="preserve">Contabilidad y Auditoría</t>
  </si>
  <si>
    <t xml:space="preserve">-5%</t>
  </si>
  <si>
    <t xml:space="preserve">MEDIA-ALTA</t>
  </si>
  <si>
    <t xml:space="preserve">MUY ALTO</t>
  </si>
  <si>
    <t xml:space="preserve">Reveló Fig.4 + Oxford(P=0.98)</t>
  </si>
  <si>
    <t xml:space="preserve">Diseño Gráfico</t>
  </si>
  <si>
    <t xml:space="preserve">-6%</t>
  </si>
  <si>
    <t xml:space="preserve">Reveló(Arts&amp;Media) + Hui2024</t>
  </si>
  <si>
    <t xml:space="preserve">Customer Service / Atención Cliente</t>
  </si>
  <si>
    <t xml:space="preserve">Reveló Fig.3 (60% coverage)</t>
  </si>
  <si>
    <t xml:space="preserve">Derecho / Abogacía</t>
  </si>
  <si>
    <t xml:space="preserve">-2%</t>
  </si>
  <si>
    <t xml:space="preserve">MEDIA</t>
  </si>
  <si>
    <t xml:space="preserve">ALTO</t>
  </si>
  <si>
    <t xml:space="preserve">Reveló Fig.4 + Stanford HAI2025</t>
  </si>
  <si>
    <t xml:space="preserve">Comunicación Social</t>
  </si>
  <si>
    <t xml:space="preserve">-3%</t>
  </si>
  <si>
    <t xml:space="preserve">Reveló(Arts&amp;Media) + McKinsey</t>
  </si>
  <si>
    <t xml:space="preserve">Relaciones Públicas</t>
  </si>
  <si>
    <t xml:space="preserve">McKinsey 2023</t>
  </si>
  <si>
    <t xml:space="preserve">Periodismo</t>
  </si>
  <si>
    <t xml:space="preserve">Administración de Empresas</t>
  </si>
  <si>
    <t xml:space="preserve">Reveló(Business&amp;Finance) + McKinsey</t>
  </si>
  <si>
    <t xml:space="preserve">Marketing y Publicidad</t>
  </si>
  <si>
    <t xml:space="preserve">Reveló(Sales) + McKinsey</t>
  </si>
  <si>
    <t xml:space="preserve">Economía</t>
  </si>
  <si>
    <t xml:space="preserve">+3%</t>
  </si>
  <si>
    <t xml:space="preserve">Reveló(Business&amp;Finance) + Oxford</t>
  </si>
  <si>
    <t xml:space="preserve">Turismo y Hotelería</t>
  </si>
  <si>
    <t xml:space="preserve">+5%</t>
  </si>
  <si>
    <t xml:space="preserve">BAJA</t>
  </si>
  <si>
    <t xml:space="preserve">MEDIO</t>
  </si>
  <si>
    <t xml:space="preserve">McKinsey + BLS</t>
  </si>
  <si>
    <t xml:space="preserve">Arquitectura</t>
  </si>
  <si>
    <t xml:space="preserve">+4%</t>
  </si>
  <si>
    <t xml:space="preserve">Ingeniería Industrial</t>
  </si>
  <si>
    <t xml:space="preserve">+6%</t>
  </si>
  <si>
    <t xml:space="preserve">Ingeniería Civil</t>
  </si>
  <si>
    <t xml:space="preserve">+7%</t>
  </si>
  <si>
    <t xml:space="preserve">MÍNIMA</t>
  </si>
  <si>
    <t xml:space="preserve">MEDIO-BAJO</t>
  </si>
  <si>
    <t xml:space="preserve">Reveló(zero)+BLS+Oxford</t>
  </si>
  <si>
    <t xml:space="preserve">Psicología</t>
  </si>
  <si>
    <t xml:space="preserve">+14%</t>
  </si>
  <si>
    <t xml:space="preserve">BAJO</t>
  </si>
  <si>
    <t xml:space="preserve">WEF2025 + BLS</t>
  </si>
  <si>
    <t xml:space="preserve">Gastronomía</t>
  </si>
  <si>
    <t xml:space="preserve">Reveló(zero coverage) + BLS</t>
  </si>
  <si>
    <t xml:space="preserve">Trabajo Social</t>
  </si>
  <si>
    <t xml:space="preserve">+9%</t>
  </si>
  <si>
    <t xml:space="preserve">WEF2025 + Reveló</t>
  </si>
  <si>
    <t xml:space="preserve">Ingeniería de Software</t>
  </si>
  <si>
    <t xml:space="preserve">+15%</t>
  </si>
  <si>
    <t xml:space="preserve">MEDIA (entry-level)</t>
  </si>
  <si>
    <t xml:space="preserve">Reveló Fig.3 (Software Dev) + BLS</t>
  </si>
  <si>
    <t xml:space="preserve">Ingeniería Eléctrica</t>
  </si>
  <si>
    <t xml:space="preserve">+10%</t>
  </si>
  <si>
    <t xml:space="preserve">Reveló(zero) + BLS</t>
  </si>
  <si>
    <t xml:space="preserve">Educación Básica / Inicial</t>
  </si>
  <si>
    <t xml:space="preserve">+8%</t>
  </si>
  <si>
    <t xml:space="preserve">MUY BAJO</t>
  </si>
  <si>
    <t xml:space="preserve">OCDE2024 + BLS + Reveló</t>
  </si>
  <si>
    <t xml:space="preserve">Medicina</t>
  </si>
  <si>
    <t xml:space="preserve">WEF2025 + BLS + Reveló</t>
  </si>
  <si>
    <t xml:space="preserve">Enfermería</t>
  </si>
  <si>
    <t xml:space="preserve">WEF2025 + BLS + Reveló(zero)</t>
  </si>
  <si>
    <t xml:space="preserve">Ciencias de la Computación</t>
  </si>
  <si>
    <t xml:space="preserve">+26%</t>
  </si>
  <si>
    <t xml:space="preserve">MEDIA (en transformación)</t>
  </si>
  <si>
    <t xml:space="preserve">SIN RIESGO</t>
  </si>
  <si>
    <t xml:space="preserve">Reveló(C&amp;Math 33%) + BLS</t>
  </si>
  <si>
    <t xml:space="preserve">Ciberseguridad</t>
  </si>
  <si>
    <t xml:space="preserve">+33%</t>
  </si>
  <si>
    <t xml:space="preserve">Ciencia de Datos / IA</t>
  </si>
  <si>
    <t xml:space="preserve">+36%</t>
  </si>
  <si>
    <t xml:space="preserve">Estudio / Fuente</t>
  </si>
  <si>
    <t xml:space="preserve">Año</t>
  </si>
  <si>
    <t xml:space="preserve">Institución</t>
  </si>
  <si>
    <t xml:space="preserve">Muestra</t>
  </si>
  <si>
    <t xml:space="preserve">Hallazgo Principal</t>
  </si>
  <si>
    <t xml:space="preserve">% / Métrica Clave</t>
  </si>
  <si>
    <t xml:space="preserve">Consenso con otros</t>
  </si>
  <si>
    <t xml:space="preserve">Limitación / Nota</t>
  </si>
  <si>
    <t xml:space="preserve">URL</t>
  </si>
  <si>
    <t xml:space="preserve">Frey &amp; Osborne — The Future of Employment</t>
  </si>
  <si>
    <t xml:space="preserve">2013</t>
  </si>
  <si>
    <t xml:space="preserve">Oxford Martin School</t>
  </si>
  <si>
    <t xml:space="preserve">Modelo probabilístico 702 ocupaciones EEUU</t>
  </si>
  <si>
    <t xml:space="preserve">702 ocupaciones EEUU</t>
  </si>
  <si>
    <t xml:space="preserve">47% empleos EEUU en alto riesgo de automatización</t>
  </si>
  <si>
    <t xml:space="preserve">47% empleos alto riesgo</t>
  </si>
  <si>
    <t xml:space="preserve">Metodología cuestionada; base de todos los estudios posteriores</t>
  </si>
  <si>
    <t xml:space="preserve">Mide OCUPACIÓN completa, no tareas; sobreestima riesgo</t>
  </si>
  <si>
    <t xml:space="preserve">oxfordmartin.ox.ac.uk/downloads/academic/future-of-employment.pdf</t>
  </si>
  <si>
    <t xml:space="preserve">Arntz, Gregory &amp; Zierahn — OCDE</t>
  </si>
  <si>
    <t xml:space="preserve">2016</t>
  </si>
  <si>
    <t xml:space="preserve">OCDE</t>
  </si>
  <si>
    <t xml:space="preserve">Enfoque por TAREAS (no ocupaciones completas)</t>
  </si>
  <si>
    <t xml:space="preserve">21 países OCDE</t>
  </si>
  <si>
    <t xml:space="preserve">Solo 9% empleos en alto riesgo (vs 47% de Oxford)</t>
  </si>
  <si>
    <t xml:space="preserve">9% empleos alto riesgo</t>
  </si>
  <si>
    <t xml:space="preserve">Consenso: metodología tareas más precisa</t>
  </si>
  <si>
    <t xml:space="preserve">Subestima por asumir heterogeneidad alta en tareas</t>
  </si>
  <si>
    <t xml:space="preserve">oecd-ilibrary.org/the-risk-of-automation</t>
  </si>
  <si>
    <t xml:space="preserve">Eloundou et al. — GPTs are GPTs</t>
  </si>
  <si>
    <t xml:space="preserve">2023/2024</t>
  </si>
  <si>
    <t xml:space="preserve">OpenAI + Penn + NYU</t>
  </si>
  <si>
    <t xml:space="preserve">Mapeo LLM-tareas O*NET</t>
  </si>
  <si>
    <t xml:space="preserve">800 ocupaciones EEUU</t>
  </si>
  <si>
    <t xml:space="preserve">80% US workers tienen ≥10% tareas expuestas; 19% tienen ≥50%</t>
  </si>
  <si>
    <t xml:space="preserve">80% workers expuestos en algo</t>
  </si>
  <si>
    <t xml:space="preserve">Alta correlación con uso real Microsoft Copilot 2025</t>
  </si>
  <si>
    <t xml:space="preserve">Exposición ≠ desplazamiento; mide factibilidad técnica</t>
  </si>
  <si>
    <t xml:space="preserve">arxiv.org/abs/2303.10130</t>
  </si>
  <si>
    <t xml:space="preserve">McKinsey Gen-AI — Economic Potential</t>
  </si>
  <si>
    <t xml:space="preserve">McKinsey Global Institute</t>
  </si>
  <si>
    <t xml:space="preserve">Análisis granular de actividades laborales</t>
  </si>
  <si>
    <t xml:space="preserve">3000+ actividades 800+ ocupaciones globales</t>
  </si>
  <si>
    <t xml:space="preserve">29% empleos automatizables; 60% se transformarán</t>
  </si>
  <si>
    <t xml:space="preserve">29% auto.; 60% transformación</t>
  </si>
  <si>
    <t xml:space="preserve">Validado por estudios empíricos posteriores</t>
  </si>
  <si>
    <t xml:space="preserve">Proyección, no observación real; escenarios optimistas</t>
  </si>
  <si>
    <t xml:space="preserve">mckinsey.com/economic-potential-of-generative-ai</t>
  </si>
  <si>
    <t xml:space="preserve">WEF — Future of Jobs Report</t>
  </si>
  <si>
    <t xml:space="preserve">2025</t>
  </si>
  <si>
    <t xml:space="preserve">World Economic Forum</t>
  </si>
  <si>
    <t xml:space="preserve">Encuesta a 1000+ empleadores de 55 países</t>
  </si>
  <si>
    <t xml:space="preserve">Cobertura global 14M trabajadores</t>
  </si>
  <si>
    <t xml:space="preserve">170M empleos nuevos vs. 92M eliminados para 2030; 77% harán upskilling</t>
  </si>
  <si>
    <t xml:space="preserve">170M creados, 92M eliminados</t>
  </si>
  <si>
    <t xml:space="preserve">Referencia más citada para planificación laboral</t>
  </si>
  <si>
    <t xml:space="preserve">Basado en encuesta (expectativas), no datos observados</t>
  </si>
  <si>
    <t xml:space="preserve">weforum.org/publications/the-future-of-jobs-report-2025</t>
  </si>
  <si>
    <t xml:space="preserve">Anthropic / Reveló — Labor Market Impacts</t>
  </si>
  <si>
    <t xml:space="preserve">Mar 2026</t>
  </si>
  <si>
    <t xml:space="preserve">Anthropic (con Reveló/ADP)</t>
  </si>
  <si>
    <t xml:space="preserve">Exposición observada (uso real) + CPS unemployment data</t>
  </si>
  <si>
    <t xml:space="preserve">Millones de conversaciones Claude + CPS EEUU</t>
  </si>
  <si>
    <t xml:space="preserve">Sin aumento sistemático desempleo expuestos; hiring de jóvenes 22-25 sí se desaceleró</t>
  </si>
  <si>
    <t xml:space="preserve">0 efecto agregado; -0.6pp por +10pp exposición en empleo</t>
  </si>
  <si>
    <t xml:space="preserve">Metodología más rigurosa disponible; combina capability+usage</t>
  </si>
  <si>
    <t xml:space="preserve">Solo EEUU; datos Claude pueden no generalizarse a todos los LLMs</t>
  </si>
  <si>
    <t xml:space="preserve">anthropic.com/research/labor-market-impacts</t>
  </si>
  <si>
    <t xml:space="preserve">Brynjolfsson et al. — ADP Payroll Study</t>
  </si>
  <si>
    <t xml:space="preserve">MIT + ADP</t>
  </si>
  <si>
    <t xml:space="preserve">Datos payroll ADP por edad y ocupación</t>
  </si>
  <si>
    <t xml:space="preserve">Millones empleados EEUU vía ADP</t>
  </si>
  <si>
    <t xml:space="preserve">Jóvenes 22-25 en ocupaciones expuestas: desaceleración contratación</t>
  </si>
  <si>
    <t xml:space="preserve">Desaceleración entry-level jóvenes</t>
  </si>
  <si>
    <t xml:space="preserve">Alineado con Reveló; primer dato observacional robusto</t>
  </si>
  <si>
    <t xml:space="preserve">Solo EEUU; cubre empresas grandes (sesgado a formal)</t>
  </si>
  <si>
    <t xml:space="preserve">dx.doi.org — Brynjolfsson et al. 2025</t>
  </si>
  <si>
    <t xml:space="preserve">Hui et al. — Upwork Study</t>
  </si>
  <si>
    <t xml:space="preserve">Organization Science</t>
  </si>
  <si>
    <t xml:space="preserve">DiD natural experiment Upwork freelance</t>
  </si>
  <si>
    <t xml:space="preserve">Millones de trabajos freelance Upwork</t>
  </si>
  <si>
    <t xml:space="preserve">Caída clara en freelancers en categorías afectadas por ChatGPT/Imagen IA</t>
  </si>
  <si>
    <t xml:space="preserve">Caída significativa en categorías específicas</t>
  </si>
  <si>
    <t xml:space="preserve">Refuerza hipótesis de desplazamiento entry-level; freelance más vulnerable</t>
  </si>
  <si>
    <t xml:space="preserve">Solo freelance/gig; puede no aplicar a empleo formal</t>
  </si>
  <si>
    <t xml:space="preserve">doi.org/10.1287/orsc.2024.1914 (Hui 2024)</t>
  </si>
  <si>
    <t xml:space="preserve">Stanford HAI — AI Index 2025</t>
  </si>
  <si>
    <t xml:space="preserve">Stanford HAI</t>
  </si>
  <si>
    <t xml:space="preserve">Meta-análisis + datos primarios IA</t>
  </si>
  <si>
    <t xml:space="preserve">Global, multifuente</t>
  </si>
  <si>
    <t xml:space="preserve">Harvey/CoCounsel 90% precisión legal; LLMs superan humanos en benchmark profesionales</t>
  </si>
  <si>
    <t xml:space="preserve">90% precisión redacción legal (Harvey)</t>
  </si>
  <si>
    <t xml:space="preserve">Valida alta exposición en Legal/Finance; no mide empleo directamente</t>
  </si>
  <si>
    <t xml:space="preserve">Benchmarks pueden no reflejar adopción real en práctica</t>
  </si>
  <si>
    <t xml:space="preserve">hai.stanford.edu/ai-index-2025</t>
  </si>
  <si>
    <t xml:space="preserve">CEPAL / BID — Futuro del Trabajo LATAM</t>
  </si>
  <si>
    <t xml:space="preserve">CEPAL + Banco Interamericano</t>
  </si>
  <si>
    <t xml:space="preserve">Adaptación metodología Oxford/McKinsey para LATAM</t>
  </si>
  <si>
    <t xml:space="preserve">19 países LATAM</t>
  </si>
  <si>
    <t xml:space="preserve">35% empleos LATAM automatizables en siguiente década</t>
  </si>
  <si>
    <t xml:space="preserve">35% empleos LATAM en riesgo</t>
  </si>
  <si>
    <t xml:space="preserve">Específico para región; Ecuador incluido en estimaciones</t>
  </si>
  <si>
    <t xml:space="preserve">Rezago tecnológico implica cronología diferente a EEUU</t>
  </si>
  <si>
    <t xml:space="preserve">repositorio.cepal.org / iadb.org</t>
  </si>
  <si>
    <t xml:space="preserve">Budget Lab Yale — AI Labor Market</t>
  </si>
  <si>
    <t xml:space="preserve">2025-2026</t>
  </si>
  <si>
    <t xml:space="preserve">Budget Lab at Yale</t>
  </si>
  <si>
    <t xml:space="preserve">CPS + Anthropic Economic Index mensual</t>
  </si>
  <si>
    <t xml:space="preserve">Nacional EEUU (mensual)</t>
  </si>
  <si>
    <t xml:space="preserve">No hay disrupción detectable en mezcla ocupacional a 33 meses post-ChatGPT</t>
  </si>
  <si>
    <t xml:space="preserve">0 disrupción agregada observable</t>
  </si>
  <si>
    <t xml:space="preserve">Alineado con Reveló; el ritmo histórico no se ha acelerado</t>
  </si>
  <si>
    <t xml:space="preserve">Solo 33 meses de datos; puede ser muy pronto para ver efectos grandes</t>
  </si>
  <si>
    <t xml:space="preserve">budgetlab.yale.edu/ai-labor-market</t>
  </si>
  <si>
    <t xml:space="preserve">Goldman Sachs — AI Report</t>
  </si>
  <si>
    <t xml:space="preserve">Goldman Sachs</t>
  </si>
  <si>
    <t xml:space="preserve">Modelado económico + encuestas empleadores</t>
  </si>
  <si>
    <t xml:space="preserve">Global (Fortune 500 + datos BLS)</t>
  </si>
  <si>
    <t xml:space="preserve">300M empleos pueden verse desplazados; 50% automatizables para 2045</t>
  </si>
  <si>
    <t xml:space="preserve">300M desplazados; 50% para 2045</t>
  </si>
  <si>
    <t xml:space="preserve">Proyecciones más agresivas; largo plazo (2045)</t>
  </si>
  <si>
    <t xml:space="preserve">Escenario, no predicción; altamente dependiente de difusión</t>
  </si>
  <si>
    <t xml:space="preserve">goldmansachs.com/intelligence/pages/generative-ai-could-raise-global-gdp.html</t>
  </si>
  <si>
    <t xml:space="preserve">OCDE Education at a Glance + AI</t>
  </si>
  <si>
    <t xml:space="preserve">Análisis educación + mercado laboral OCDE</t>
  </si>
  <si>
    <t xml:space="preserve">38 países OCDE</t>
  </si>
  <si>
    <t xml:space="preserve">10% tareas docentes automatizables; profesionales educación: bajo riesgo</t>
  </si>
  <si>
    <t xml:space="preserve">10% tareas educación auto.</t>
  </si>
  <si>
    <t xml:space="preserve">Consistente con todos los estudios sobre sector educación</t>
  </si>
  <si>
    <t xml:space="preserve">Énfasis en países OCDE; Ecuador no incluido directamente</t>
  </si>
  <si>
    <t xml:space="preserve">oecd.org/education/education-at-a-glance</t>
  </si>
  <si>
    <t xml:space="preserve">Xataka / Sixth Tone — China Universities</t>
  </si>
  <si>
    <t xml:space="preserve">2026</t>
  </si>
  <si>
    <t xml:space="preserve">Periodismo (verificado)</t>
  </si>
  <si>
    <t xml:space="preserve">Seguimiento decisiones institucionales China</t>
  </si>
  <si>
    <t xml:space="preserve">China: 5+ universidades</t>
  </si>
  <si>
    <t xml:space="preserve">China eliminó 16+ programas artísticos (fotografía, diseño, moda, etc.) como respuesta IA</t>
  </si>
  <si>
    <t xml:space="preserve">16+ programas eliminados</t>
  </si>
  <si>
    <t xml:space="preserve">Evidencia de acción política real, no solo proyección</t>
  </si>
  <si>
    <t xml:space="preserve">China tiene contexto de planificación central; no directamente aplicable</t>
  </si>
  <si>
    <t xml:space="preserve">xataka.com/magnet/universidades-top-china-eliminando-carreras-artes</t>
  </si>
  <si>
    <t xml:space="preserve">La Hora / Children Int'l Ecuador</t>
  </si>
  <si>
    <t xml:space="preserve">Periodismo EC + ONG</t>
  </si>
  <si>
    <t xml:space="preserve">Encuesta + datos INEC</t>
  </si>
  <si>
    <t xml:space="preserve">Jóvenes Ecuador 18-29</t>
  </si>
  <si>
    <t xml:space="preserve">67% empleadores ven falta de skills; 51% jóvenes sin ingreso; 8 meses para empleo</t>
  </si>
  <si>
    <t xml:space="preserve">9.5% desempleo juvenil EC</t>
  </si>
  <si>
    <t xml:space="preserve">Datos INEC subyacentes; más grave que muchos países de la región</t>
  </si>
  <si>
    <t xml:space="preserve">Solo Ecuador; 2024-2026</t>
  </si>
  <si>
    <t xml:space="preserve">lahora.com.ec / childrenint'l Ecuador</t>
  </si>
  <si>
    <t xml:space="preserve">NOTA: Los estudios con metodología 'observada' (Reveló/Anthropic, Brynjolfsson ADP, Budget Lab Yale) son más confiables para el corto plazo que los 'teóricos' (Oxford, McKinsey). Para Ecuador, aplicar rezago de 3-5 años sobre resultados de EEUU/Europa al proyectar impactos.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</si>
</sst>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D4E00"/>
      <name val="Arial"/>
      <family val="0"/>
      <charset val="1"/>
    </font>
    <font>
      <sz val="9"/>
      <color rgb="FF1A4731"/>
      <name val="Arial"/>
      <family val="0"/>
      <charset val="1"/>
    </font>
    <font>
      <sz val="9"/>
      <color rgb="FF1A3A5C"/>
      <name val="Arial"/>
      <family val="0"/>
      <charset val="1"/>
    </font>
    <font>
      <sz val="9"/>
      <color rgb="FF7B241C"/>
      <name val="Arial"/>
      <family val="0"/>
      <charset val="1"/>
    </font>
    <font>
      <b val="true"/>
      <sz val="9"/>
      <color rgb="FF7B241C"/>
      <name val="Arial"/>
      <family val="0"/>
      <charset val="1"/>
    </font>
    <font>
      <sz val="9"/>
      <color rgb="FF784212"/>
      <name val="Arial"/>
      <family val="0"/>
      <charset val="1"/>
    </font>
    <font>
      <b val="true"/>
      <sz val="9"/>
      <color rgb="FF784212"/>
      <name val="Arial"/>
      <family val="0"/>
      <charset val="1"/>
    </font>
    <font>
      <sz val="9"/>
      <color rgb="FF7D6608"/>
      <name val="Arial"/>
      <family val="0"/>
      <charset val="1"/>
    </font>
    <font>
      <b val="true"/>
      <sz val="9"/>
      <color rgb="FF7D6608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3A6A"/>
      <name val="Arial"/>
      <family val="0"/>
      <charset val="1"/>
    </font>
    <font>
      <b val="true"/>
      <sz val="9"/>
      <color rgb="FF1A3A6A"/>
      <name val="Arial"/>
      <family val="0"/>
      <charset val="1"/>
    </font>
    <font>
      <sz val="9"/>
      <color rgb="FF4A235A"/>
      <name val="Arial"/>
      <family val="0"/>
      <charset val="1"/>
    </font>
    <font>
      <b val="true"/>
      <sz val="9"/>
      <color rgb="FF4A235A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3E"/>
        <bgColor rgb="FF1A3A5C"/>
      </patternFill>
    </fill>
    <fill>
      <patternFill patternType="solid">
        <fgColor rgb="FFEEF4FB"/>
        <bgColor rgb="FFEAF2FF"/>
      </patternFill>
    </fill>
    <fill>
      <patternFill patternType="solid">
        <fgColor rgb="FFFFFFFF"/>
        <bgColor rgb="FFFEF9E7"/>
      </patternFill>
    </fill>
    <fill>
      <patternFill patternType="solid">
        <fgColor rgb="FFFFF3CD"/>
        <bgColor rgb="FFFDEBD0"/>
      </patternFill>
    </fill>
    <fill>
      <patternFill patternType="solid">
        <fgColor rgb="FF2F4858"/>
        <bgColor rgb="FF1A3A5C"/>
      </patternFill>
    </fill>
    <fill>
      <patternFill patternType="solid">
        <fgColor rgb="FFEEF9F4"/>
        <bgColor rgb="FFE8F8F5"/>
      </patternFill>
    </fill>
    <fill>
      <patternFill patternType="solid">
        <fgColor rgb="FF4A1A6A"/>
        <bgColor rgb="FF4A235A"/>
      </patternFill>
    </fill>
    <fill>
      <patternFill patternType="solid">
        <fgColor rgb="FF7B241C"/>
        <bgColor rgb="FF784212"/>
      </patternFill>
    </fill>
    <fill>
      <patternFill patternType="solid">
        <fgColor rgb="FFFADADD"/>
        <bgColor rgb="FFFDEBD0"/>
      </patternFill>
    </fill>
    <fill>
      <patternFill patternType="solid">
        <fgColor rgb="FFFDEBD0"/>
        <bgColor rgb="FFFFF3CD"/>
      </patternFill>
    </fill>
    <fill>
      <patternFill patternType="solid">
        <fgColor rgb="FFFEF9E7"/>
        <bgColor rgb="FFFFFFFF"/>
      </patternFill>
    </fill>
    <fill>
      <patternFill patternType="solid">
        <fgColor rgb="FFE8F8F5"/>
        <bgColor rgb="FFEEF9F4"/>
      </patternFill>
    </fill>
    <fill>
      <patternFill patternType="solid">
        <fgColor rgb="FFEAF2FF"/>
        <bgColor rgb="FFEEF4FB"/>
      </patternFill>
    </fill>
    <fill>
      <patternFill patternType="solid">
        <fgColor rgb="FFF5EEF8"/>
        <bgColor rgb="FFEEF4FB"/>
      </patternFill>
    </fill>
    <fill>
      <patternFill patternType="solid">
        <fgColor rgb="FF1A4731"/>
        <bgColor rgb="FF2F485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4A235A"/>
      <rgbColor rgb="FF008080"/>
      <rgbColor rgb="FFCCCCCC"/>
      <rgbColor rgb="FF808080"/>
      <rgbColor rgb="FF9999FF"/>
      <rgbColor rgb="FF784212"/>
      <rgbColor rgb="FFFFF3CD"/>
      <rgbColor rgb="FFE8F8F5"/>
      <rgbColor rgb="FF4A1A6A"/>
      <rgbColor rgb="FFFF8080"/>
      <rgbColor rgb="FF1A5276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EEF9F4"/>
      <rgbColor rgb="FFFDEBD0"/>
      <rgbColor rgb="FFEEF4FB"/>
      <rgbColor rgb="FFFEF9E7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6A"/>
      <rgbColor rgb="FF339966"/>
      <rgbColor rgb="FF0D1B3E"/>
      <rgbColor rgb="FF1A4731"/>
      <rgbColor rgb="FF7B241C"/>
      <rgbColor rgb="FF7D4E00"/>
      <rgbColor rgb="FF2F4858"/>
      <rgbColor rgb="FF1A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38"/>
  </cols>
  <sheetData>
    <row r="1" customFormat="false" ht="4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2.35" hidden="false" customHeight="false" outlineLevel="0" collapsed="false">
      <c r="A2" s="2" t="s">
        <v>10</v>
      </c>
      <c r="B2" s="2" t="s">
        <v>11</v>
      </c>
      <c r="C2" s="3" t="n">
        <v>94</v>
      </c>
      <c r="D2" s="3" t="n">
        <v>75</v>
      </c>
      <c r="E2" s="3" t="n">
        <v>19</v>
      </c>
      <c r="F2" s="3" t="s">
        <v>12</v>
      </c>
      <c r="G2" s="3" t="n">
        <v>-0.6</v>
      </c>
      <c r="H2" s="3" t="s">
        <v>13</v>
      </c>
      <c r="I2" s="2" t="s">
        <v>14</v>
      </c>
      <c r="J2" s="2" t="s">
        <v>15</v>
      </c>
    </row>
    <row r="3" customFormat="false" ht="22.35" hidden="false" customHeight="false" outlineLevel="0" collapsed="false">
      <c r="A3" s="4" t="s">
        <v>16</v>
      </c>
      <c r="B3" s="4" t="s">
        <v>17</v>
      </c>
      <c r="C3" s="5" t="n">
        <v>90</v>
      </c>
      <c r="D3" s="5" t="n">
        <v>60</v>
      </c>
      <c r="E3" s="5" t="n">
        <v>30</v>
      </c>
      <c r="F3" s="5" t="s">
        <v>18</v>
      </c>
      <c r="G3" s="5" t="n">
        <v>-0.6</v>
      </c>
      <c r="H3" s="5" t="s">
        <v>13</v>
      </c>
      <c r="I3" s="4" t="s">
        <v>19</v>
      </c>
      <c r="J3" s="4" t="s">
        <v>15</v>
      </c>
    </row>
    <row r="4" customFormat="false" ht="15" hidden="false" customHeight="false" outlineLevel="0" collapsed="false">
      <c r="A4" s="2" t="s">
        <v>20</v>
      </c>
      <c r="B4" s="2" t="s">
        <v>17</v>
      </c>
      <c r="C4" s="3" t="n">
        <v>90</v>
      </c>
      <c r="D4" s="3" t="n">
        <v>67</v>
      </c>
      <c r="E4" s="3" t="n">
        <v>23</v>
      </c>
      <c r="F4" s="3" t="s">
        <v>12</v>
      </c>
      <c r="G4" s="3" t="n">
        <v>-0.6</v>
      </c>
      <c r="H4" s="3" t="s">
        <v>13</v>
      </c>
      <c r="I4" s="2" t="s">
        <v>21</v>
      </c>
      <c r="J4" s="2" t="s">
        <v>15</v>
      </c>
    </row>
    <row r="5" customFormat="false" ht="22.35" hidden="false" customHeight="false" outlineLevel="0" collapsed="false">
      <c r="A5" s="4" t="s">
        <v>22</v>
      </c>
      <c r="B5" s="4" t="s">
        <v>11</v>
      </c>
      <c r="C5" s="5" t="n">
        <v>94</v>
      </c>
      <c r="D5" s="5" t="n">
        <v>45</v>
      </c>
      <c r="E5" s="5" t="n">
        <v>49</v>
      </c>
      <c r="F5" s="5" t="s">
        <v>23</v>
      </c>
      <c r="G5" s="5" t="n">
        <v>5</v>
      </c>
      <c r="H5" s="5" t="s">
        <v>24</v>
      </c>
      <c r="I5" s="4" t="s">
        <v>25</v>
      </c>
      <c r="J5" s="4" t="s">
        <v>26</v>
      </c>
    </row>
    <row r="6" customFormat="false" ht="22.35" hidden="false" customHeight="false" outlineLevel="0" collapsed="false">
      <c r="A6" s="2" t="s">
        <v>27</v>
      </c>
      <c r="B6" s="2" t="s">
        <v>28</v>
      </c>
      <c r="C6" s="3" t="n">
        <v>80</v>
      </c>
      <c r="D6" s="3" t="n">
        <v>35</v>
      </c>
      <c r="E6" s="3" t="n">
        <v>45</v>
      </c>
      <c r="F6" s="3" t="s">
        <v>23</v>
      </c>
      <c r="G6" s="3" t="n">
        <v>0</v>
      </c>
      <c r="H6" s="3" t="s">
        <v>29</v>
      </c>
      <c r="I6" s="2" t="s">
        <v>30</v>
      </c>
      <c r="J6" s="2" t="s">
        <v>31</v>
      </c>
    </row>
    <row r="7" customFormat="false" ht="22.35" hidden="false" customHeight="false" outlineLevel="0" collapsed="false">
      <c r="A7" s="4" t="s">
        <v>32</v>
      </c>
      <c r="B7" s="4" t="s">
        <v>33</v>
      </c>
      <c r="C7" s="5" t="n">
        <v>70</v>
      </c>
      <c r="D7" s="5" t="n">
        <v>20</v>
      </c>
      <c r="E7" s="5" t="n">
        <v>50</v>
      </c>
      <c r="F7" s="5" t="s">
        <v>34</v>
      </c>
      <c r="G7" s="5" t="n">
        <v>-0.6</v>
      </c>
      <c r="H7" s="5" t="s">
        <v>35</v>
      </c>
      <c r="I7" s="4" t="s">
        <v>36</v>
      </c>
      <c r="J7" s="4" t="s">
        <v>31</v>
      </c>
    </row>
    <row r="8" customFormat="false" ht="22.35" hidden="false" customHeight="false" outlineLevel="0" collapsed="false">
      <c r="A8" s="2" t="s">
        <v>37</v>
      </c>
      <c r="B8" s="2" t="s">
        <v>17</v>
      </c>
      <c r="C8" s="3" t="n">
        <v>75</v>
      </c>
      <c r="D8" s="3" t="n">
        <v>35</v>
      </c>
      <c r="E8" s="3" t="n">
        <v>40</v>
      </c>
      <c r="F8" s="3" t="s">
        <v>23</v>
      </c>
      <c r="G8" s="3" t="n">
        <v>-10</v>
      </c>
      <c r="H8" s="3" t="s">
        <v>38</v>
      </c>
      <c r="I8" s="2" t="s">
        <v>39</v>
      </c>
      <c r="J8" s="2" t="s">
        <v>31</v>
      </c>
    </row>
    <row r="9" customFormat="false" ht="22.35" hidden="false" customHeight="false" outlineLevel="0" collapsed="false">
      <c r="A9" s="4" t="s">
        <v>40</v>
      </c>
      <c r="B9" s="4" t="s">
        <v>28</v>
      </c>
      <c r="C9" s="5" t="n">
        <v>78</v>
      </c>
      <c r="D9" s="5" t="n">
        <v>30</v>
      </c>
      <c r="E9" s="5" t="n">
        <v>48</v>
      </c>
      <c r="F9" s="5" t="s">
        <v>23</v>
      </c>
      <c r="G9" s="5" t="n">
        <v>-0.6</v>
      </c>
      <c r="H9" s="5" t="s">
        <v>29</v>
      </c>
      <c r="I9" s="4" t="s">
        <v>41</v>
      </c>
      <c r="J9" s="4" t="s">
        <v>42</v>
      </c>
    </row>
    <row r="10" customFormat="false" ht="22.35" hidden="false" customHeight="false" outlineLevel="0" collapsed="false">
      <c r="A10" s="2" t="s">
        <v>43</v>
      </c>
      <c r="B10" s="2" t="s">
        <v>11</v>
      </c>
      <c r="C10" s="3" t="n">
        <v>94</v>
      </c>
      <c r="D10" s="3" t="n">
        <v>33</v>
      </c>
      <c r="E10" s="3" t="n">
        <v>61</v>
      </c>
      <c r="F10" s="3" t="s">
        <v>44</v>
      </c>
      <c r="G10" s="3" t="n">
        <v>5</v>
      </c>
      <c r="H10" s="3" t="s">
        <v>45</v>
      </c>
      <c r="I10" s="2" t="s">
        <v>46</v>
      </c>
      <c r="J10" s="2" t="s">
        <v>42</v>
      </c>
    </row>
    <row r="11" customFormat="false" ht="15" hidden="false" customHeight="false" outlineLevel="0" collapsed="false">
      <c r="A11" s="4" t="s">
        <v>47</v>
      </c>
      <c r="B11" s="4" t="s">
        <v>17</v>
      </c>
      <c r="C11" s="5" t="n">
        <v>90</v>
      </c>
      <c r="D11" s="5" t="n">
        <v>25</v>
      </c>
      <c r="E11" s="5" t="n">
        <v>65</v>
      </c>
      <c r="F11" s="5" t="s">
        <v>48</v>
      </c>
      <c r="G11" s="5" t="n">
        <v>-0.6</v>
      </c>
      <c r="H11" s="5" t="s">
        <v>49</v>
      </c>
      <c r="I11" s="4" t="s">
        <v>50</v>
      </c>
      <c r="J11" s="4" t="s">
        <v>42</v>
      </c>
    </row>
    <row r="12" customFormat="false" ht="15" hidden="false" customHeight="false" outlineLevel="0" collapsed="false">
      <c r="A12" s="2" t="s">
        <v>51</v>
      </c>
      <c r="B12" s="2" t="s">
        <v>33</v>
      </c>
      <c r="C12" s="3" t="n">
        <v>70</v>
      </c>
      <c r="D12" s="3" t="n">
        <v>15</v>
      </c>
      <c r="E12" s="3" t="n">
        <v>55</v>
      </c>
      <c r="F12" s="3" t="s">
        <v>44</v>
      </c>
      <c r="G12" s="3" t="n">
        <v>-0.6</v>
      </c>
      <c r="H12" s="3" t="s">
        <v>35</v>
      </c>
      <c r="I12" s="2" t="s">
        <v>52</v>
      </c>
      <c r="J12" s="2" t="s">
        <v>42</v>
      </c>
    </row>
    <row r="13" customFormat="false" ht="22.35" hidden="false" customHeight="false" outlineLevel="0" collapsed="false">
      <c r="A13" s="4" t="s">
        <v>53</v>
      </c>
      <c r="B13" s="4" t="s">
        <v>54</v>
      </c>
      <c r="C13" s="5" t="n">
        <v>65</v>
      </c>
      <c r="D13" s="5" t="n">
        <v>12</v>
      </c>
      <c r="E13" s="5" t="n">
        <v>53</v>
      </c>
      <c r="F13" s="5" t="s">
        <v>44</v>
      </c>
      <c r="G13" s="5" t="n">
        <v>-0.6</v>
      </c>
      <c r="H13" s="5" t="s">
        <v>55</v>
      </c>
      <c r="I13" s="4" t="s">
        <v>56</v>
      </c>
      <c r="J13" s="4" t="s">
        <v>42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3" t="n">
        <v>50</v>
      </c>
      <c r="D14" s="3" t="n">
        <v>8</v>
      </c>
      <c r="E14" s="3" t="n">
        <v>42</v>
      </c>
      <c r="F14" s="3" t="s">
        <v>23</v>
      </c>
      <c r="G14" s="3" t="n">
        <v>0</v>
      </c>
      <c r="H14" s="3" t="s">
        <v>35</v>
      </c>
      <c r="I14" s="2" t="s">
        <v>59</v>
      </c>
      <c r="J14" s="2" t="s">
        <v>42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5" t="n">
        <v>5</v>
      </c>
      <c r="D15" s="5" t="n">
        <v>0</v>
      </c>
      <c r="E15" s="5" t="n">
        <v>5</v>
      </c>
      <c r="F15" s="5" t="s">
        <v>62</v>
      </c>
      <c r="G15" s="5" t="n">
        <v>2</v>
      </c>
      <c r="H15" s="5" t="s">
        <v>63</v>
      </c>
      <c r="I15" s="4" t="s">
        <v>64</v>
      </c>
      <c r="J15" s="4" t="s">
        <v>42</v>
      </c>
    </row>
    <row r="16" customFormat="false" ht="22.35" hidden="false" customHeight="false" outlineLevel="0" collapsed="false">
      <c r="A16" s="2" t="s">
        <v>65</v>
      </c>
      <c r="B16" s="2" t="s">
        <v>61</v>
      </c>
      <c r="C16" s="3" t="n">
        <v>2</v>
      </c>
      <c r="D16" s="3" t="n">
        <v>0</v>
      </c>
      <c r="E16" s="3" t="n">
        <v>2</v>
      </c>
      <c r="F16" s="3" t="s">
        <v>62</v>
      </c>
      <c r="G16" s="3" t="n">
        <v>1</v>
      </c>
      <c r="H16" s="3" t="s">
        <v>66</v>
      </c>
      <c r="I16" s="2" t="s">
        <v>67</v>
      </c>
      <c r="J16" s="2" t="s">
        <v>68</v>
      </c>
    </row>
    <row r="17" customFormat="false" ht="22.35" hidden="false" customHeight="false" outlineLevel="0" collapsed="false">
      <c r="A17" s="6" t="s">
        <v>69</v>
      </c>
      <c r="B17" s="6" t="s">
        <v>70</v>
      </c>
      <c r="C17" s="7" t="n">
        <v>0</v>
      </c>
      <c r="D17" s="7" t="n">
        <v>0</v>
      </c>
      <c r="E17" s="7" t="n">
        <v>0</v>
      </c>
      <c r="F17" s="7" t="s">
        <v>71</v>
      </c>
      <c r="G17" s="7" t="s">
        <v>71</v>
      </c>
      <c r="H17" s="7" t="s">
        <v>71</v>
      </c>
      <c r="I17" s="6" t="s">
        <v>72</v>
      </c>
      <c r="J17" s="6" t="s">
        <v>73</v>
      </c>
    </row>
    <row r="18" customFormat="false" ht="22.35" hidden="false" customHeight="false" outlineLevel="0" collapsed="false">
      <c r="A18" s="6" t="s">
        <v>74</v>
      </c>
      <c r="B18" s="6" t="s">
        <v>70</v>
      </c>
      <c r="C18" s="7" t="n">
        <v>80</v>
      </c>
      <c r="D18" s="7" t="n">
        <v>0</v>
      </c>
      <c r="E18" s="7" t="n">
        <v>0</v>
      </c>
      <c r="F18" s="7" t="s">
        <v>71</v>
      </c>
      <c r="G18" s="7" t="s">
        <v>71</v>
      </c>
      <c r="H18" s="7" t="s">
        <v>71</v>
      </c>
      <c r="I18" s="6" t="s">
        <v>75</v>
      </c>
      <c r="J18" s="6" t="s">
        <v>76</v>
      </c>
    </row>
    <row r="19" customFormat="false" ht="22.35" hidden="false" customHeight="false" outlineLevel="0" collapsed="false">
      <c r="A19" s="6" t="s">
        <v>77</v>
      </c>
      <c r="B19" s="6" t="s">
        <v>70</v>
      </c>
      <c r="C19" s="7" t="n">
        <v>68</v>
      </c>
      <c r="D19" s="7" t="n">
        <v>68</v>
      </c>
      <c r="E19" s="7" t="n">
        <v>0</v>
      </c>
      <c r="F19" s="7" t="s">
        <v>71</v>
      </c>
      <c r="G19" s="7" t="s">
        <v>71</v>
      </c>
      <c r="H19" s="7" t="s">
        <v>71</v>
      </c>
      <c r="I19" s="6" t="s">
        <v>78</v>
      </c>
      <c r="J19" s="6" t="s">
        <v>79</v>
      </c>
    </row>
    <row r="20" customFormat="false" ht="22.35" hidden="false" customHeight="false" outlineLevel="0" collapsed="false">
      <c r="A20" s="6" t="s">
        <v>80</v>
      </c>
      <c r="B20" s="6" t="s">
        <v>70</v>
      </c>
      <c r="C20" s="7" t="n">
        <v>3</v>
      </c>
      <c r="D20" s="7" t="n">
        <v>3</v>
      </c>
      <c r="E20" s="7" t="n">
        <v>0</v>
      </c>
      <c r="F20" s="7" t="s">
        <v>71</v>
      </c>
      <c r="G20" s="7" t="s">
        <v>71</v>
      </c>
      <c r="H20" s="7" t="s">
        <v>71</v>
      </c>
      <c r="I20" s="6" t="s">
        <v>81</v>
      </c>
      <c r="J20" s="6" t="s">
        <v>79</v>
      </c>
    </row>
    <row r="21" customFormat="false" ht="22.35" hidden="false" customHeight="false" outlineLevel="0" collapsed="false">
      <c r="A21" s="6" t="s">
        <v>82</v>
      </c>
      <c r="B21" s="6" t="s">
        <v>70</v>
      </c>
      <c r="C21" s="7" t="s">
        <v>71</v>
      </c>
      <c r="D21" s="7" t="n">
        <v>-0.6</v>
      </c>
      <c r="E21" s="7" t="n">
        <v>0</v>
      </c>
      <c r="F21" s="7" t="n">
        <v>-0.6</v>
      </c>
      <c r="G21" s="7" t="n">
        <v>-0.6</v>
      </c>
      <c r="H21" s="7" t="s">
        <v>71</v>
      </c>
      <c r="I21" s="6" t="s">
        <v>83</v>
      </c>
      <c r="J21" s="6" t="s">
        <v>84</v>
      </c>
    </row>
    <row r="22" customFormat="false" ht="22.35" hidden="false" customHeight="false" outlineLevel="0" collapsed="false">
      <c r="A22" s="6" t="s">
        <v>85</v>
      </c>
      <c r="B22" s="6" t="s">
        <v>86</v>
      </c>
      <c r="C22" s="7" t="s">
        <v>71</v>
      </c>
      <c r="D22" s="7" t="s">
        <v>71</v>
      </c>
      <c r="E22" s="7" t="s">
        <v>71</v>
      </c>
      <c r="F22" s="7" t="s">
        <v>87</v>
      </c>
      <c r="G22" s="7" t="s">
        <v>71</v>
      </c>
      <c r="H22" s="7" t="s">
        <v>88</v>
      </c>
      <c r="I22" s="6" t="s">
        <v>89</v>
      </c>
      <c r="J22" s="6" t="s">
        <v>90</v>
      </c>
    </row>
    <row r="23" customFormat="false" ht="22.35" hidden="false" customHeight="false" outlineLevel="0" collapsed="false">
      <c r="A23" s="6" t="s">
        <v>91</v>
      </c>
      <c r="B23" s="6" t="s">
        <v>70</v>
      </c>
      <c r="C23" s="7" t="s">
        <v>71</v>
      </c>
      <c r="D23" s="7" t="s">
        <v>71</v>
      </c>
      <c r="E23" s="7" t="s">
        <v>71</v>
      </c>
      <c r="F23" s="7" t="s">
        <v>71</v>
      </c>
      <c r="G23" s="7" t="s">
        <v>71</v>
      </c>
      <c r="H23" s="7" t="s">
        <v>92</v>
      </c>
      <c r="I23" s="6" t="s">
        <v>93</v>
      </c>
      <c r="J23" s="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28"/>
    <col collapsed="false" customWidth="true" hidden="false" outlineLevel="0" max="9" min="9" style="0" width="32"/>
  </cols>
  <sheetData>
    <row r="1" customFormat="false" ht="49.5" hidden="false" customHeight="true" outlineLevel="0" collapsed="false">
      <c r="A1" s="8" t="s">
        <v>95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</row>
    <row r="2" customFormat="false" ht="22.35" hidden="false" customHeight="false" outlineLevel="0" collapsed="false">
      <c r="A2" s="2" t="s">
        <v>28</v>
      </c>
      <c r="B2" s="3" t="n">
        <v>78</v>
      </c>
      <c r="C2" s="3" t="n">
        <v>30</v>
      </c>
      <c r="D2" s="3" t="n">
        <f aca="false">C2-B2</f>
        <v>-48</v>
      </c>
      <c r="E2" s="3" t="n">
        <f aca="false">D2/B2*100</f>
        <v>-61.5384615384615</v>
      </c>
      <c r="F2" s="3" t="n">
        <v>-2</v>
      </c>
      <c r="G2" s="2" t="s">
        <v>104</v>
      </c>
      <c r="H2" s="2" t="s">
        <v>105</v>
      </c>
      <c r="I2" s="2" t="s">
        <v>106</v>
      </c>
    </row>
    <row r="3" customFormat="false" ht="22.35" hidden="false" customHeight="false" outlineLevel="0" collapsed="false">
      <c r="A3" s="4" t="s">
        <v>11</v>
      </c>
      <c r="B3" s="5" t="n">
        <v>94</v>
      </c>
      <c r="C3" s="5" t="n">
        <v>33</v>
      </c>
      <c r="D3" s="5" t="n">
        <f aca="false">C3-B3</f>
        <v>-61</v>
      </c>
      <c r="E3" s="5" t="n">
        <f aca="false">D3/B3*100</f>
        <v>-64.8936170212766</v>
      </c>
      <c r="F3" s="5" t="n">
        <v>5</v>
      </c>
      <c r="G3" s="4" t="s">
        <v>107</v>
      </c>
      <c r="H3" s="4" t="s">
        <v>108</v>
      </c>
      <c r="I3" s="4" t="s">
        <v>106</v>
      </c>
    </row>
    <row r="4" customFormat="false" ht="22.35" hidden="false" customHeight="false" outlineLevel="0" collapsed="false">
      <c r="A4" s="2" t="s">
        <v>17</v>
      </c>
      <c r="B4" s="3" t="n">
        <v>90</v>
      </c>
      <c r="C4" s="3" t="n">
        <v>25</v>
      </c>
      <c r="D4" s="3" t="n">
        <f aca="false">C4-B4</f>
        <v>-65</v>
      </c>
      <c r="E4" s="3" t="n">
        <f aca="false">D4/B4*100</f>
        <v>-72.2222222222222</v>
      </c>
      <c r="F4" s="3" t="n">
        <v>-3</v>
      </c>
      <c r="G4" s="2" t="s">
        <v>109</v>
      </c>
      <c r="H4" s="2" t="s">
        <v>110</v>
      </c>
      <c r="I4" s="2" t="s">
        <v>106</v>
      </c>
    </row>
    <row r="5" customFormat="false" ht="22.35" hidden="false" customHeight="false" outlineLevel="0" collapsed="false">
      <c r="A5" s="4" t="s">
        <v>33</v>
      </c>
      <c r="B5" s="5" t="n">
        <v>70</v>
      </c>
      <c r="C5" s="5" t="n">
        <v>15</v>
      </c>
      <c r="D5" s="5" t="n">
        <f aca="false">C5-B5</f>
        <v>-55</v>
      </c>
      <c r="E5" s="5" t="n">
        <f aca="false">D5/B5*100</f>
        <v>-78.5714285714286</v>
      </c>
      <c r="F5" s="5" t="n">
        <v>-2</v>
      </c>
      <c r="G5" s="4" t="s">
        <v>111</v>
      </c>
      <c r="H5" s="4" t="s">
        <v>112</v>
      </c>
      <c r="I5" s="4" t="s">
        <v>106</v>
      </c>
    </row>
    <row r="6" customFormat="false" ht="22.35" hidden="false" customHeight="false" outlineLevel="0" collapsed="false">
      <c r="A6" s="2" t="s">
        <v>54</v>
      </c>
      <c r="B6" s="3" t="n">
        <v>65</v>
      </c>
      <c r="C6" s="3" t="n">
        <v>12</v>
      </c>
      <c r="D6" s="3" t="n">
        <f aca="false">C6-B6</f>
        <v>-53</v>
      </c>
      <c r="E6" s="3" t="n">
        <f aca="false">D6/B6*100</f>
        <v>-81.5384615384615</v>
      </c>
      <c r="F6" s="3" t="n">
        <v>-3</v>
      </c>
      <c r="G6" s="2" t="s">
        <v>113</v>
      </c>
      <c r="H6" s="2" t="s">
        <v>114</v>
      </c>
      <c r="I6" s="2" t="s">
        <v>115</v>
      </c>
    </row>
    <row r="7" customFormat="false" ht="22.35" hidden="false" customHeight="false" outlineLevel="0" collapsed="false">
      <c r="A7" s="4" t="s">
        <v>58</v>
      </c>
      <c r="B7" s="5" t="n">
        <v>50</v>
      </c>
      <c r="C7" s="5" t="n">
        <v>8</v>
      </c>
      <c r="D7" s="5" t="n">
        <f aca="false">C7-B7</f>
        <v>-42</v>
      </c>
      <c r="E7" s="5" t="n">
        <f aca="false">D7/B7*100</f>
        <v>-84</v>
      </c>
      <c r="F7" s="5" t="n">
        <v>0</v>
      </c>
      <c r="G7" s="4" t="s">
        <v>116</v>
      </c>
      <c r="H7" s="4" t="s">
        <v>117</v>
      </c>
      <c r="I7" s="4" t="s">
        <v>106</v>
      </c>
    </row>
    <row r="8" customFormat="false" ht="22.35" hidden="false" customHeight="false" outlineLevel="0" collapsed="false">
      <c r="A8" s="2" t="s">
        <v>118</v>
      </c>
      <c r="B8" s="3" t="n">
        <v>5</v>
      </c>
      <c r="C8" s="3" t="n">
        <v>0</v>
      </c>
      <c r="D8" s="3" t="n">
        <f aca="false">C8-B8</f>
        <v>-5</v>
      </c>
      <c r="E8" s="3" t="n">
        <f aca="false">D8/B8*100</f>
        <v>-100</v>
      </c>
      <c r="F8" s="3" t="n">
        <v>2</v>
      </c>
      <c r="G8" s="2" t="s">
        <v>119</v>
      </c>
      <c r="H8" s="2" t="s">
        <v>120</v>
      </c>
      <c r="I8" s="2" t="s">
        <v>121</v>
      </c>
    </row>
    <row r="9" customFormat="false" ht="15" hidden="false" customHeight="false" outlineLevel="0" collapsed="false">
      <c r="A9" s="9" t="s">
        <v>122</v>
      </c>
      <c r="B9" s="10" t="n">
        <v>0.78</v>
      </c>
      <c r="C9" s="10" t="s">
        <v>71</v>
      </c>
      <c r="D9" s="10" t="s">
        <v>71</v>
      </c>
      <c r="E9" s="10" t="s">
        <v>71</v>
      </c>
      <c r="F9" s="10" t="s">
        <v>71</v>
      </c>
      <c r="G9" s="9" t="s">
        <v>123</v>
      </c>
      <c r="H9" s="9"/>
      <c r="I9" s="9" t="s">
        <v>124</v>
      </c>
    </row>
    <row r="10" customFormat="false" ht="15" hidden="false" customHeight="false" outlineLevel="0" collapsed="false">
      <c r="A10" s="9" t="s">
        <v>125</v>
      </c>
      <c r="B10" s="10" t="n">
        <v>0.94</v>
      </c>
      <c r="C10" s="10" t="s">
        <v>71</v>
      </c>
      <c r="D10" s="10" t="s">
        <v>71</v>
      </c>
      <c r="E10" s="10" t="s">
        <v>71</v>
      </c>
      <c r="F10" s="10" t="s">
        <v>71</v>
      </c>
      <c r="G10" s="9" t="s">
        <v>123</v>
      </c>
      <c r="H10" s="9"/>
      <c r="I10" s="9" t="s">
        <v>124</v>
      </c>
    </row>
    <row r="11" customFormat="false" ht="15" hidden="false" customHeight="false" outlineLevel="0" collapsed="false">
      <c r="A11" s="9" t="s">
        <v>126</v>
      </c>
      <c r="B11" s="10" t="n">
        <v>0.9</v>
      </c>
      <c r="C11" s="10" t="s">
        <v>71</v>
      </c>
      <c r="D11" s="10" t="s">
        <v>71</v>
      </c>
      <c r="E11" s="10" t="s">
        <v>71</v>
      </c>
      <c r="F11" s="10" t="s">
        <v>71</v>
      </c>
      <c r="G11" s="9" t="s">
        <v>123</v>
      </c>
      <c r="H11" s="9"/>
      <c r="I11" s="9" t="s">
        <v>124</v>
      </c>
    </row>
    <row r="12" customFormat="false" ht="15" hidden="false" customHeight="false" outlineLevel="0" collapsed="false">
      <c r="A12" s="9" t="s">
        <v>127</v>
      </c>
      <c r="B12" s="10" t="n">
        <v>0.7</v>
      </c>
      <c r="C12" s="10" t="s">
        <v>71</v>
      </c>
      <c r="D12" s="10" t="s">
        <v>71</v>
      </c>
      <c r="E12" s="10" t="s">
        <v>71</v>
      </c>
      <c r="F12" s="10" t="s">
        <v>71</v>
      </c>
      <c r="G12" s="9" t="s">
        <v>123</v>
      </c>
      <c r="H12" s="9"/>
      <c r="I12" s="9" t="s">
        <v>124</v>
      </c>
    </row>
    <row r="13" customFormat="false" ht="15" hidden="false" customHeight="false" outlineLevel="0" collapsed="false">
      <c r="A13" s="9" t="s">
        <v>128</v>
      </c>
      <c r="B13" s="10" t="n">
        <v>0.65</v>
      </c>
      <c r="C13" s="10" t="s">
        <v>71</v>
      </c>
      <c r="D13" s="10" t="s">
        <v>71</v>
      </c>
      <c r="E13" s="10" t="s">
        <v>71</v>
      </c>
      <c r="F13" s="10" t="s">
        <v>71</v>
      </c>
      <c r="G13" s="9" t="s">
        <v>123</v>
      </c>
      <c r="H13" s="9"/>
      <c r="I13" s="9" t="s">
        <v>124</v>
      </c>
    </row>
    <row r="14" customFormat="false" ht="15" hidden="false" customHeight="false" outlineLevel="0" collapsed="false">
      <c r="A14" s="9" t="s">
        <v>129</v>
      </c>
      <c r="B14" s="10" t="n">
        <v>0.5</v>
      </c>
      <c r="C14" s="10" t="s">
        <v>71</v>
      </c>
      <c r="D14" s="10" t="s">
        <v>71</v>
      </c>
      <c r="E14" s="10" t="s">
        <v>71</v>
      </c>
      <c r="F14" s="10" t="s">
        <v>71</v>
      </c>
      <c r="G14" s="9" t="s">
        <v>123</v>
      </c>
      <c r="H14" s="9"/>
      <c r="I14" s="9" t="s">
        <v>124</v>
      </c>
    </row>
    <row r="15" customFormat="false" ht="15" hidden="false" customHeight="false" outlineLevel="0" collapsed="false">
      <c r="A15" s="9" t="s">
        <v>130</v>
      </c>
      <c r="B15" s="10" t="n">
        <v>0.3</v>
      </c>
      <c r="C15" s="10" t="s">
        <v>71</v>
      </c>
      <c r="D15" s="10" t="s">
        <v>71</v>
      </c>
      <c r="E15" s="10" t="s">
        <v>71</v>
      </c>
      <c r="F15" s="10" t="s">
        <v>71</v>
      </c>
      <c r="G15" s="9" t="s">
        <v>123</v>
      </c>
      <c r="H15" s="9"/>
      <c r="I15" s="9" t="s">
        <v>124</v>
      </c>
    </row>
    <row r="16" customFormat="false" ht="15" hidden="false" customHeight="false" outlineLevel="0" collapsed="false">
      <c r="A16" s="9" t="s">
        <v>131</v>
      </c>
      <c r="B16" s="10" t="n">
        <v>0.33</v>
      </c>
      <c r="C16" s="10" t="s">
        <v>71</v>
      </c>
      <c r="D16" s="10" t="s">
        <v>71</v>
      </c>
      <c r="E16" s="10" t="s">
        <v>71</v>
      </c>
      <c r="F16" s="10" t="s">
        <v>71</v>
      </c>
      <c r="G16" s="9" t="s">
        <v>123</v>
      </c>
      <c r="H16" s="9"/>
      <c r="I16" s="9" t="s">
        <v>124</v>
      </c>
    </row>
    <row r="17" customFormat="false" ht="15" hidden="false" customHeight="false" outlineLevel="0" collapsed="false">
      <c r="A17" s="9" t="s">
        <v>132</v>
      </c>
      <c r="B17" s="10" t="n">
        <v>0.25</v>
      </c>
      <c r="C17" s="10" t="s">
        <v>71</v>
      </c>
      <c r="D17" s="10" t="s">
        <v>71</v>
      </c>
      <c r="E17" s="10" t="s">
        <v>71</v>
      </c>
      <c r="F17" s="10" t="s">
        <v>71</v>
      </c>
      <c r="G17" s="9" t="s">
        <v>123</v>
      </c>
      <c r="H17" s="9"/>
      <c r="I17" s="9" t="s">
        <v>124</v>
      </c>
    </row>
    <row r="18" customFormat="false" ht="15" hidden="false" customHeight="false" outlineLevel="0" collapsed="false">
      <c r="A18" s="9" t="s">
        <v>133</v>
      </c>
      <c r="B18" s="10" t="n">
        <v>0.15</v>
      </c>
      <c r="C18" s="10" t="s">
        <v>71</v>
      </c>
      <c r="D18" s="10" t="s">
        <v>71</v>
      </c>
      <c r="E18" s="10" t="s">
        <v>71</v>
      </c>
      <c r="F18" s="10" t="s">
        <v>71</v>
      </c>
      <c r="G18" s="9" t="s">
        <v>123</v>
      </c>
      <c r="H18" s="9"/>
      <c r="I18" s="9" t="s">
        <v>124</v>
      </c>
    </row>
    <row r="19" customFormat="false" ht="15" hidden="false" customHeight="false" outlineLevel="0" collapsed="false">
      <c r="A19" s="9" t="s">
        <v>134</v>
      </c>
      <c r="B19" s="10" t="n">
        <v>0.12</v>
      </c>
      <c r="C19" s="10" t="s">
        <v>71</v>
      </c>
      <c r="D19" s="10" t="s">
        <v>71</v>
      </c>
      <c r="E19" s="10" t="s">
        <v>71</v>
      </c>
      <c r="F19" s="10" t="s">
        <v>71</v>
      </c>
      <c r="G19" s="9" t="s">
        <v>123</v>
      </c>
      <c r="H19" s="9"/>
      <c r="I19" s="9" t="s">
        <v>124</v>
      </c>
    </row>
    <row r="20" customFormat="false" ht="15" hidden="false" customHeight="false" outlineLevel="0" collapsed="false">
      <c r="A20" s="9" t="s">
        <v>135</v>
      </c>
      <c r="B20" s="10" t="n">
        <v>0.08</v>
      </c>
      <c r="C20" s="10" t="s">
        <v>71</v>
      </c>
      <c r="D20" s="10" t="s">
        <v>71</v>
      </c>
      <c r="E20" s="10" t="s">
        <v>71</v>
      </c>
      <c r="F20" s="10" t="s">
        <v>71</v>
      </c>
      <c r="G20" s="9" t="s">
        <v>123</v>
      </c>
      <c r="H20" s="9"/>
      <c r="I20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49.5" hidden="false" customHeight="true" outlineLevel="0" collapsed="false">
      <c r="A1" s="11" t="s">
        <v>136</v>
      </c>
      <c r="B1" s="11" t="s">
        <v>137</v>
      </c>
      <c r="C1" s="11" t="s">
        <v>138</v>
      </c>
      <c r="D1" s="11" t="s">
        <v>139</v>
      </c>
      <c r="E1" s="11" t="s">
        <v>140</v>
      </c>
      <c r="F1" s="11" t="s">
        <v>141</v>
      </c>
      <c r="G1" s="11" t="s">
        <v>142</v>
      </c>
      <c r="H1" s="11" t="s">
        <v>103</v>
      </c>
    </row>
    <row r="2" customFormat="false" ht="22.35" hidden="false" customHeight="false" outlineLevel="0" collapsed="false">
      <c r="A2" s="2" t="s">
        <v>22</v>
      </c>
      <c r="B2" s="3" t="n">
        <v>0.28</v>
      </c>
      <c r="C2" s="3" t="n">
        <v>15</v>
      </c>
      <c r="D2" s="3" t="n">
        <v>1800</v>
      </c>
      <c r="E2" s="2" t="s">
        <v>11</v>
      </c>
      <c r="F2" s="2" t="s">
        <v>143</v>
      </c>
      <c r="G2" s="2" t="s">
        <v>144</v>
      </c>
      <c r="H2" s="2" t="s">
        <v>145</v>
      </c>
    </row>
    <row r="3" customFormat="false" ht="15" hidden="false" customHeight="false" outlineLevel="0" collapsed="false">
      <c r="A3" s="4" t="s">
        <v>146</v>
      </c>
      <c r="B3" s="5" t="n">
        <v>0.3</v>
      </c>
      <c r="C3" s="5" t="n">
        <v>10</v>
      </c>
      <c r="D3" s="5" t="n">
        <v>1400</v>
      </c>
      <c r="E3" s="4" t="s">
        <v>28</v>
      </c>
      <c r="F3" s="4" t="s">
        <v>147</v>
      </c>
      <c r="G3" s="4" t="s">
        <v>29</v>
      </c>
      <c r="H3" s="4" t="s">
        <v>145</v>
      </c>
    </row>
    <row r="4" customFormat="false" ht="15" hidden="false" customHeight="false" outlineLevel="0" collapsed="false">
      <c r="A4" s="2" t="s">
        <v>148</v>
      </c>
      <c r="B4" s="3" t="n">
        <v>0.22</v>
      </c>
      <c r="C4" s="3" t="n">
        <v>8</v>
      </c>
      <c r="D4" s="3" t="n">
        <v>900</v>
      </c>
      <c r="E4" s="2" t="s">
        <v>33</v>
      </c>
      <c r="F4" s="2" t="s">
        <v>149</v>
      </c>
      <c r="G4" s="2" t="s">
        <v>35</v>
      </c>
      <c r="H4" s="2" t="s">
        <v>145</v>
      </c>
    </row>
    <row r="5" customFormat="false" ht="15" hidden="false" customHeight="false" outlineLevel="0" collapsed="false">
      <c r="A5" s="4" t="s">
        <v>150</v>
      </c>
      <c r="B5" s="5" t="n">
        <v>0.6</v>
      </c>
      <c r="C5" s="5" t="n">
        <v>-8</v>
      </c>
      <c r="D5" s="5" t="n">
        <v>2900</v>
      </c>
      <c r="E5" s="4" t="s">
        <v>17</v>
      </c>
      <c r="F5" s="4" t="s">
        <v>151</v>
      </c>
      <c r="G5" s="4" t="s">
        <v>152</v>
      </c>
      <c r="H5" s="4" t="s">
        <v>145</v>
      </c>
    </row>
    <row r="6" customFormat="false" ht="15" hidden="false" customHeight="false" outlineLevel="0" collapsed="false">
      <c r="A6" s="2" t="s">
        <v>153</v>
      </c>
      <c r="B6" s="3" t="n">
        <v>0.35</v>
      </c>
      <c r="C6" s="3" t="n">
        <v>-10</v>
      </c>
      <c r="D6" s="3" t="n">
        <v>3200</v>
      </c>
      <c r="E6" s="2" t="s">
        <v>17</v>
      </c>
      <c r="F6" s="2" t="s">
        <v>154</v>
      </c>
      <c r="G6" s="2" t="s">
        <v>152</v>
      </c>
      <c r="H6" s="2" t="s">
        <v>145</v>
      </c>
    </row>
    <row r="7" customFormat="false" ht="15" hidden="false" customHeight="false" outlineLevel="0" collapsed="false">
      <c r="A7" s="4" t="s">
        <v>20</v>
      </c>
      <c r="B7" s="5" t="n">
        <v>0.67</v>
      </c>
      <c r="C7" s="5" t="n">
        <v>-12</v>
      </c>
      <c r="D7" s="5" t="n">
        <v>200</v>
      </c>
      <c r="E7" s="4" t="s">
        <v>17</v>
      </c>
      <c r="F7" s="4" t="s">
        <v>155</v>
      </c>
      <c r="G7" s="4" t="s">
        <v>156</v>
      </c>
      <c r="H7" s="4" t="s">
        <v>145</v>
      </c>
    </row>
    <row r="8" customFormat="false" ht="15" hidden="false" customHeight="false" outlineLevel="0" collapsed="false">
      <c r="A8" s="2" t="s">
        <v>10</v>
      </c>
      <c r="B8" s="3" t="n">
        <v>0.75</v>
      </c>
      <c r="C8" s="3" t="n">
        <v>-5</v>
      </c>
      <c r="D8" s="3" t="n">
        <v>300</v>
      </c>
      <c r="E8" s="2" t="s">
        <v>11</v>
      </c>
      <c r="F8" s="2" t="s">
        <v>157</v>
      </c>
      <c r="G8" s="2" t="s">
        <v>158</v>
      </c>
      <c r="H8" s="2" t="s">
        <v>145</v>
      </c>
    </row>
    <row r="9" customFormat="false" ht="15" hidden="false" customHeight="false" outlineLevel="0" collapsed="false">
      <c r="A9" s="4" t="s">
        <v>159</v>
      </c>
      <c r="B9" s="5" t="n">
        <v>0.45</v>
      </c>
      <c r="C9" s="5" t="n">
        <v>-6</v>
      </c>
      <c r="D9" s="5" t="n">
        <v>280</v>
      </c>
      <c r="E9" s="4" t="s">
        <v>54</v>
      </c>
      <c r="F9" s="4" t="s">
        <v>160</v>
      </c>
      <c r="G9" s="4" t="s">
        <v>161</v>
      </c>
      <c r="H9" s="4" t="s">
        <v>162</v>
      </c>
    </row>
    <row r="10" customFormat="false" ht="15" hidden="false" customHeight="false" outlineLevel="0" collapsed="false">
      <c r="A10" s="2" t="s">
        <v>163</v>
      </c>
      <c r="B10" s="3" t="n">
        <v>0.5</v>
      </c>
      <c r="C10" s="3" t="n">
        <v>-8</v>
      </c>
      <c r="D10" s="3" t="n">
        <v>150</v>
      </c>
      <c r="E10" s="2" t="s">
        <v>54</v>
      </c>
      <c r="F10" s="2" t="s">
        <v>164</v>
      </c>
      <c r="G10" s="2" t="s">
        <v>165</v>
      </c>
      <c r="H10" s="2" t="s">
        <v>166</v>
      </c>
    </row>
    <row r="11" customFormat="false" ht="15" hidden="false" customHeight="false" outlineLevel="0" collapsed="false">
      <c r="A11" s="4" t="s">
        <v>167</v>
      </c>
      <c r="B11" s="5" t="n">
        <v>0.35</v>
      </c>
      <c r="C11" s="5" t="n">
        <v>3</v>
      </c>
      <c r="D11" s="5" t="n">
        <v>350</v>
      </c>
      <c r="E11" s="4" t="s">
        <v>28</v>
      </c>
      <c r="F11" s="4" t="s">
        <v>168</v>
      </c>
      <c r="G11" s="4" t="s">
        <v>169</v>
      </c>
      <c r="H11" s="4" t="s">
        <v>145</v>
      </c>
    </row>
    <row r="12" customFormat="false" ht="15" hidden="false" customHeight="false" outlineLevel="0" collapsed="false">
      <c r="A12" s="2" t="s">
        <v>170</v>
      </c>
      <c r="B12" s="3" t="n">
        <v>0.55</v>
      </c>
      <c r="C12" s="3" t="n">
        <v>-4</v>
      </c>
      <c r="D12" s="3" t="n">
        <v>330</v>
      </c>
      <c r="E12" s="2" t="s">
        <v>33</v>
      </c>
      <c r="F12" s="2" t="s">
        <v>171</v>
      </c>
      <c r="G12" s="2" t="s">
        <v>172</v>
      </c>
      <c r="H12" s="2" t="s">
        <v>166</v>
      </c>
    </row>
    <row r="13" customFormat="false" ht="15" hidden="false" customHeight="false" outlineLevel="0" collapsed="false">
      <c r="A13" s="4" t="s">
        <v>173</v>
      </c>
      <c r="B13" s="5" t="n">
        <v>0.4</v>
      </c>
      <c r="C13" s="5" t="n">
        <v>-2</v>
      </c>
      <c r="D13" s="5" t="n">
        <v>210</v>
      </c>
      <c r="E13" s="4" t="s">
        <v>174</v>
      </c>
      <c r="F13" s="4" t="s">
        <v>175</v>
      </c>
      <c r="G13" s="4" t="s">
        <v>169</v>
      </c>
      <c r="H13" s="4" t="s">
        <v>145</v>
      </c>
    </row>
    <row r="14" customFormat="false" ht="15" hidden="false" customHeight="false" outlineLevel="0" collapsed="false">
      <c r="A14" s="2" t="s">
        <v>176</v>
      </c>
      <c r="B14" s="3" t="n">
        <v>0.55</v>
      </c>
      <c r="C14" s="3" t="n">
        <v>-5</v>
      </c>
      <c r="D14" s="3" t="n">
        <v>110</v>
      </c>
      <c r="E14" s="2" t="s">
        <v>28</v>
      </c>
      <c r="F14" s="2" t="s">
        <v>177</v>
      </c>
      <c r="G14" s="2" t="s">
        <v>178</v>
      </c>
      <c r="H14" s="2" t="s">
        <v>166</v>
      </c>
    </row>
    <row r="15" customFormat="false" ht="15" hidden="false" customHeight="false" outlineLevel="0" collapsed="false">
      <c r="A15" s="4" t="s">
        <v>179</v>
      </c>
      <c r="B15" s="5" t="n">
        <v>0.65</v>
      </c>
      <c r="C15" s="5" t="n">
        <v>-15</v>
      </c>
      <c r="D15" s="5" t="n">
        <v>70</v>
      </c>
      <c r="E15" s="4" t="s">
        <v>28</v>
      </c>
      <c r="F15" s="4" t="s">
        <v>180</v>
      </c>
      <c r="G15" s="4" t="s">
        <v>181</v>
      </c>
      <c r="H15" s="4" t="s">
        <v>145</v>
      </c>
    </row>
    <row r="16" customFormat="false" ht="15" hidden="false" customHeight="false" outlineLevel="0" collapsed="false">
      <c r="A16" s="2" t="s">
        <v>182</v>
      </c>
      <c r="B16" s="3" t="n">
        <v>0.7</v>
      </c>
      <c r="C16" s="3" t="n">
        <v>-10</v>
      </c>
      <c r="D16" s="3" t="n">
        <v>75</v>
      </c>
      <c r="E16" s="2" t="s">
        <v>54</v>
      </c>
      <c r="F16" s="2" t="s">
        <v>183</v>
      </c>
      <c r="G16" s="2" t="s">
        <v>181</v>
      </c>
      <c r="H16" s="2" t="s">
        <v>166</v>
      </c>
    </row>
    <row r="17" customFormat="false" ht="15" hidden="false" customHeight="false" outlineLevel="0" collapsed="false">
      <c r="A17" s="4" t="s">
        <v>184</v>
      </c>
      <c r="B17" s="5" t="n">
        <v>0.1</v>
      </c>
      <c r="C17" s="5" t="n">
        <v>15</v>
      </c>
      <c r="D17" s="5" t="n">
        <v>3200</v>
      </c>
      <c r="E17" s="4" t="s">
        <v>185</v>
      </c>
      <c r="F17" s="4" t="s">
        <v>186</v>
      </c>
      <c r="G17" s="4" t="s">
        <v>187</v>
      </c>
      <c r="H17" s="4" t="s">
        <v>188</v>
      </c>
    </row>
    <row r="18" customFormat="false" ht="15" hidden="false" customHeight="false" outlineLevel="0" collapsed="false">
      <c r="A18" s="2" t="s">
        <v>189</v>
      </c>
      <c r="B18" s="3" t="n">
        <v>0.05</v>
      </c>
      <c r="C18" s="3" t="n">
        <v>8</v>
      </c>
      <c r="D18" s="3" t="n">
        <v>3800</v>
      </c>
      <c r="E18" s="2" t="s">
        <v>190</v>
      </c>
      <c r="F18" s="2" t="s">
        <v>191</v>
      </c>
      <c r="G18" s="2" t="s">
        <v>187</v>
      </c>
      <c r="H18" s="2" t="s">
        <v>188</v>
      </c>
    </row>
    <row r="19" customFormat="false" ht="22.35" hidden="false" customHeight="false" outlineLevel="0" collapsed="false">
      <c r="A19" s="4" t="s">
        <v>192</v>
      </c>
      <c r="B19" s="5" t="n">
        <v>0.15</v>
      </c>
      <c r="C19" s="5" t="n">
        <v>7</v>
      </c>
      <c r="D19" s="5" t="n">
        <v>310</v>
      </c>
      <c r="E19" s="4" t="s">
        <v>193</v>
      </c>
      <c r="F19" s="4" t="s">
        <v>194</v>
      </c>
      <c r="G19" s="4" t="s">
        <v>187</v>
      </c>
      <c r="H19" s="4" t="s">
        <v>188</v>
      </c>
    </row>
    <row r="20" customFormat="false" ht="15" hidden="false" customHeight="false" outlineLevel="0" collapsed="false">
      <c r="A20" s="2" t="s">
        <v>195</v>
      </c>
      <c r="B20" s="3" t="n">
        <v>0</v>
      </c>
      <c r="C20" s="3" t="n">
        <v>5</v>
      </c>
      <c r="D20" s="3" t="n">
        <v>1500</v>
      </c>
      <c r="E20" s="2" t="s">
        <v>196</v>
      </c>
      <c r="F20" s="2" t="s">
        <v>197</v>
      </c>
      <c r="G20" s="2" t="s">
        <v>62</v>
      </c>
      <c r="H20" s="2" t="s">
        <v>198</v>
      </c>
    </row>
    <row r="21" customFormat="false" ht="15" hidden="false" customHeight="false" outlineLevel="0" collapsed="false">
      <c r="A21" s="4" t="s">
        <v>199</v>
      </c>
      <c r="B21" s="5" t="n">
        <v>0</v>
      </c>
      <c r="C21" s="5" t="n">
        <v>10</v>
      </c>
      <c r="D21" s="5" t="n">
        <v>780</v>
      </c>
      <c r="E21" s="4" t="s">
        <v>200</v>
      </c>
      <c r="F21" s="4" t="s">
        <v>201</v>
      </c>
      <c r="G21" s="4" t="s">
        <v>62</v>
      </c>
      <c r="H21" s="4" t="s">
        <v>198</v>
      </c>
    </row>
    <row r="22" customFormat="false" ht="22.35" hidden="false" customHeight="false" outlineLevel="0" collapsed="false">
      <c r="A22" s="6" t="s">
        <v>202</v>
      </c>
      <c r="B22" s="7" t="s">
        <v>203</v>
      </c>
      <c r="C22" s="7" t="s">
        <v>204</v>
      </c>
      <c r="D22" s="7" t="n">
        <v>0</v>
      </c>
      <c r="E22" s="6" t="s">
        <v>205</v>
      </c>
      <c r="F22" s="6" t="s">
        <v>205</v>
      </c>
      <c r="G22" s="6" t="s">
        <v>71</v>
      </c>
      <c r="H22" s="6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40"/>
  </cols>
  <sheetData>
    <row r="1" customFormat="false" ht="39.75" hidden="false" customHeight="true" outlineLevel="0" collapsed="false">
      <c r="A1" s="12" t="s">
        <v>207</v>
      </c>
      <c r="B1" s="12" t="s">
        <v>208</v>
      </c>
      <c r="C1" s="12" t="s">
        <v>209</v>
      </c>
      <c r="D1" s="12" t="s">
        <v>210</v>
      </c>
      <c r="E1" s="12" t="s">
        <v>211</v>
      </c>
      <c r="F1" s="12" t="s">
        <v>212</v>
      </c>
      <c r="G1" s="12" t="s">
        <v>103</v>
      </c>
    </row>
    <row r="2" customFormat="false" ht="22.35" hidden="false" customHeight="false" outlineLevel="0" collapsed="false">
      <c r="A2" s="2" t="s">
        <v>213</v>
      </c>
      <c r="B2" s="3" t="s">
        <v>214</v>
      </c>
      <c r="C2" s="3" t="s">
        <v>215</v>
      </c>
      <c r="D2" s="2" t="s">
        <v>216</v>
      </c>
      <c r="E2" s="2" t="s">
        <v>217</v>
      </c>
      <c r="F2" s="2" t="s">
        <v>218</v>
      </c>
      <c r="G2" s="2" t="s">
        <v>219</v>
      </c>
    </row>
    <row r="3" customFormat="false" ht="22.35" hidden="false" customHeight="false" outlineLevel="0" collapsed="false">
      <c r="A3" s="4" t="s">
        <v>220</v>
      </c>
      <c r="B3" s="5" t="s">
        <v>221</v>
      </c>
      <c r="C3" s="5" t="s">
        <v>215</v>
      </c>
      <c r="D3" s="4" t="s">
        <v>222</v>
      </c>
      <c r="E3" s="4" t="s">
        <v>217</v>
      </c>
      <c r="F3" s="4" t="s">
        <v>223</v>
      </c>
      <c r="G3" s="4" t="s">
        <v>219</v>
      </c>
    </row>
    <row r="4" customFormat="false" ht="22.35" hidden="false" customHeight="false" outlineLevel="0" collapsed="false">
      <c r="A4" s="2" t="s">
        <v>224</v>
      </c>
      <c r="B4" s="3" t="s">
        <v>225</v>
      </c>
      <c r="C4" s="3" t="s">
        <v>226</v>
      </c>
      <c r="D4" s="2" t="s">
        <v>227</v>
      </c>
      <c r="E4" s="2" t="s">
        <v>217</v>
      </c>
      <c r="F4" s="2" t="s">
        <v>228</v>
      </c>
      <c r="G4" s="2" t="s">
        <v>219</v>
      </c>
    </row>
    <row r="5" customFormat="false" ht="15" hidden="false" customHeight="false" outlineLevel="0" collapsed="false">
      <c r="A5" s="4" t="s">
        <v>229</v>
      </c>
      <c r="B5" s="5" t="s">
        <v>230</v>
      </c>
      <c r="C5" s="5" t="s">
        <v>226</v>
      </c>
      <c r="D5" s="4" t="s">
        <v>231</v>
      </c>
      <c r="E5" s="4" t="s">
        <v>217</v>
      </c>
      <c r="F5" s="4" t="s">
        <v>232</v>
      </c>
      <c r="G5" s="4" t="s">
        <v>219</v>
      </c>
    </row>
    <row r="6" customFormat="false" ht="15" hidden="false" customHeight="false" outlineLevel="0" collapsed="false">
      <c r="A6" s="2" t="s">
        <v>233</v>
      </c>
      <c r="B6" s="3" t="s">
        <v>234</v>
      </c>
      <c r="C6" s="3" t="s">
        <v>235</v>
      </c>
      <c r="D6" s="2" t="s">
        <v>236</v>
      </c>
      <c r="E6" s="2" t="s">
        <v>237</v>
      </c>
      <c r="F6" s="2" t="s">
        <v>238</v>
      </c>
      <c r="G6" s="2" t="s">
        <v>239</v>
      </c>
    </row>
    <row r="7" customFormat="false" ht="15" hidden="false" customHeight="false" outlineLevel="0" collapsed="false">
      <c r="A7" s="4" t="s">
        <v>240</v>
      </c>
      <c r="B7" s="5" t="s">
        <v>241</v>
      </c>
      <c r="C7" s="5" t="s">
        <v>215</v>
      </c>
      <c r="D7" s="4" t="s">
        <v>242</v>
      </c>
      <c r="E7" s="4" t="s">
        <v>243</v>
      </c>
      <c r="F7" s="4" t="s">
        <v>244</v>
      </c>
      <c r="G7" s="4" t="s">
        <v>239</v>
      </c>
    </row>
    <row r="8" customFormat="false" ht="15" hidden="false" customHeight="false" outlineLevel="0" collapsed="false">
      <c r="A8" s="2" t="s">
        <v>245</v>
      </c>
      <c r="B8" s="3" t="s">
        <v>246</v>
      </c>
      <c r="C8" s="3" t="s">
        <v>247</v>
      </c>
      <c r="D8" s="2" t="s">
        <v>248</v>
      </c>
      <c r="E8" s="2" t="s">
        <v>249</v>
      </c>
      <c r="F8" s="2" t="s">
        <v>250</v>
      </c>
      <c r="G8" s="2" t="s">
        <v>219</v>
      </c>
    </row>
    <row r="9" customFormat="false" ht="22.35" hidden="false" customHeight="false" outlineLevel="0" collapsed="false">
      <c r="A9" s="4" t="s">
        <v>251</v>
      </c>
      <c r="B9" s="5" t="s">
        <v>252</v>
      </c>
      <c r="C9" s="5" t="s">
        <v>253</v>
      </c>
      <c r="D9" s="4" t="s">
        <v>254</v>
      </c>
      <c r="E9" s="4" t="s">
        <v>255</v>
      </c>
      <c r="F9" s="4" t="s">
        <v>256</v>
      </c>
      <c r="G9" s="4" t="s">
        <v>257</v>
      </c>
    </row>
    <row r="10" customFormat="false" ht="22.35" hidden="false" customHeight="false" outlineLevel="0" collapsed="false">
      <c r="A10" s="2" t="s">
        <v>258</v>
      </c>
      <c r="B10" s="3" t="s">
        <v>181</v>
      </c>
      <c r="C10" s="3" t="s">
        <v>253</v>
      </c>
      <c r="D10" s="2" t="s">
        <v>259</v>
      </c>
      <c r="E10" s="2" t="s">
        <v>260</v>
      </c>
      <c r="F10" s="2" t="s">
        <v>261</v>
      </c>
      <c r="G10" s="2" t="s">
        <v>262</v>
      </c>
    </row>
    <row r="11" customFormat="false" ht="22.35" hidden="false" customHeight="false" outlineLevel="0" collapsed="false">
      <c r="A11" s="4" t="s">
        <v>263</v>
      </c>
      <c r="B11" s="5" t="s">
        <v>264</v>
      </c>
      <c r="C11" s="5" t="s">
        <v>265</v>
      </c>
      <c r="D11" s="4" t="s">
        <v>266</v>
      </c>
      <c r="E11" s="4" t="s">
        <v>267</v>
      </c>
      <c r="F11" s="4" t="s">
        <v>268</v>
      </c>
      <c r="G11" s="4" t="s">
        <v>269</v>
      </c>
    </row>
    <row r="12" customFormat="false" ht="22.35" hidden="false" customHeight="false" outlineLevel="0" collapsed="false">
      <c r="A12" s="2" t="s">
        <v>270</v>
      </c>
      <c r="B12" s="3" t="s">
        <v>271</v>
      </c>
      <c r="C12" s="3" t="s">
        <v>265</v>
      </c>
      <c r="D12" s="2" t="s">
        <v>266</v>
      </c>
      <c r="E12" s="2" t="s">
        <v>267</v>
      </c>
      <c r="F12" s="2" t="s">
        <v>272</v>
      </c>
      <c r="G12" s="2" t="s">
        <v>269</v>
      </c>
    </row>
    <row r="13" customFormat="false" ht="32.8" hidden="false" customHeight="false" outlineLevel="0" collapsed="false">
      <c r="A13" s="4" t="s">
        <v>273</v>
      </c>
      <c r="B13" s="5" t="s">
        <v>274</v>
      </c>
      <c r="C13" s="5" t="s">
        <v>265</v>
      </c>
      <c r="D13" s="4" t="s">
        <v>275</v>
      </c>
      <c r="E13" s="4" t="s">
        <v>267</v>
      </c>
      <c r="F13" s="4" t="s">
        <v>276</v>
      </c>
      <c r="G13" s="4" t="s">
        <v>269</v>
      </c>
    </row>
    <row r="14" customFormat="false" ht="22.35" hidden="false" customHeight="false" outlineLevel="0" collapsed="false">
      <c r="A14" s="2" t="s">
        <v>277</v>
      </c>
      <c r="B14" s="3" t="s">
        <v>278</v>
      </c>
      <c r="C14" s="3" t="s">
        <v>265</v>
      </c>
      <c r="D14" s="2" t="s">
        <v>279</v>
      </c>
      <c r="E14" s="2" t="s">
        <v>267</v>
      </c>
      <c r="F14" s="2" t="s">
        <v>280</v>
      </c>
      <c r="G14" s="2" t="s">
        <v>269</v>
      </c>
    </row>
    <row r="15" customFormat="false" ht="43.25" hidden="false" customHeight="false" outlineLevel="0" collapsed="false">
      <c r="A15" s="4" t="s">
        <v>281</v>
      </c>
      <c r="B15" s="5" t="s">
        <v>282</v>
      </c>
      <c r="C15" s="5" t="s">
        <v>283</v>
      </c>
      <c r="D15" s="4" t="s">
        <v>284</v>
      </c>
      <c r="E15" s="4" t="s">
        <v>285</v>
      </c>
      <c r="F15" s="4" t="s">
        <v>286</v>
      </c>
      <c r="G15" s="4" t="s">
        <v>287</v>
      </c>
    </row>
    <row r="16" customFormat="false" ht="32.8" hidden="false" customHeight="false" outlineLevel="0" collapsed="false">
      <c r="A16" s="2" t="s">
        <v>288</v>
      </c>
      <c r="B16" s="3" t="s">
        <v>289</v>
      </c>
      <c r="C16" s="3" t="s">
        <v>247</v>
      </c>
      <c r="D16" s="2" t="s">
        <v>290</v>
      </c>
      <c r="E16" s="2" t="s">
        <v>291</v>
      </c>
      <c r="F16" s="2" t="s">
        <v>292</v>
      </c>
      <c r="G16" s="2" t="s">
        <v>293</v>
      </c>
    </row>
    <row r="17" customFormat="false" ht="32.8" hidden="false" customHeight="false" outlineLevel="0" collapsed="false">
      <c r="A17" s="4" t="s">
        <v>294</v>
      </c>
      <c r="B17" s="5" t="s">
        <v>295</v>
      </c>
      <c r="C17" s="5" t="s">
        <v>296</v>
      </c>
      <c r="D17" s="4" t="s">
        <v>290</v>
      </c>
      <c r="E17" s="4" t="s">
        <v>297</v>
      </c>
      <c r="F17" s="4" t="s">
        <v>298</v>
      </c>
      <c r="G17" s="4" t="s">
        <v>299</v>
      </c>
    </row>
    <row r="18" customFormat="false" ht="22.35" hidden="false" customHeight="false" outlineLevel="0" collapsed="false">
      <c r="A18" s="13" t="s">
        <v>300</v>
      </c>
      <c r="B18" s="14" t="s">
        <v>301</v>
      </c>
      <c r="C18" s="14" t="s">
        <v>302</v>
      </c>
      <c r="D18" s="13" t="s">
        <v>303</v>
      </c>
      <c r="E18" s="13" t="s">
        <v>304</v>
      </c>
      <c r="F18" s="13" t="s">
        <v>305</v>
      </c>
      <c r="G18" s="13" t="s">
        <v>306</v>
      </c>
    </row>
    <row r="19" customFormat="false" ht="22.35" hidden="false" customHeight="false" outlineLevel="0" collapsed="false">
      <c r="A19" s="13" t="s">
        <v>307</v>
      </c>
      <c r="B19" s="14" t="s">
        <v>308</v>
      </c>
      <c r="C19" s="14" t="s">
        <v>302</v>
      </c>
      <c r="D19" s="13" t="s">
        <v>309</v>
      </c>
      <c r="E19" s="13" t="s">
        <v>310</v>
      </c>
      <c r="F19" s="13" t="s">
        <v>311</v>
      </c>
      <c r="G19" s="13" t="s">
        <v>312</v>
      </c>
    </row>
    <row r="20" customFormat="false" ht="22.35" hidden="false" customHeight="false" outlineLevel="0" collapsed="false">
      <c r="A20" s="13" t="s">
        <v>313</v>
      </c>
      <c r="B20" s="14" t="s">
        <v>314</v>
      </c>
      <c r="C20" s="14" t="s">
        <v>302</v>
      </c>
      <c r="D20" s="13" t="s">
        <v>315</v>
      </c>
      <c r="E20" s="13" t="s">
        <v>304</v>
      </c>
      <c r="F20" s="13" t="s">
        <v>316</v>
      </c>
      <c r="G20" s="13" t="s">
        <v>306</v>
      </c>
    </row>
    <row r="21" customFormat="false" ht="22.35" hidden="false" customHeight="false" outlineLevel="0" collapsed="false">
      <c r="A21" s="13" t="s">
        <v>317</v>
      </c>
      <c r="B21" s="14" t="s">
        <v>318</v>
      </c>
      <c r="C21" s="14" t="s">
        <v>302</v>
      </c>
      <c r="D21" s="13" t="s">
        <v>319</v>
      </c>
      <c r="E21" s="13" t="s">
        <v>310</v>
      </c>
      <c r="F21" s="13" t="s">
        <v>320</v>
      </c>
      <c r="G21" s="13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9" min="7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8"/>
  </cols>
  <sheetData>
    <row r="1" customFormat="false" ht="49.5" hidden="false" customHeight="true" outlineLevel="0" collapsed="false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</row>
    <row r="2" customFormat="false" ht="15" hidden="false" customHeight="false" outlineLevel="0" collapsed="false">
      <c r="A2" s="15" t="s">
        <v>332</v>
      </c>
      <c r="B2" s="15" t="s">
        <v>333</v>
      </c>
      <c r="C2" s="16" t="n">
        <v>80</v>
      </c>
      <c r="D2" s="16" t="n">
        <v>90</v>
      </c>
      <c r="E2" s="16" t="n">
        <v>45</v>
      </c>
      <c r="F2" s="16" t="s">
        <v>334</v>
      </c>
      <c r="G2" s="16" t="n">
        <v>10</v>
      </c>
      <c r="H2" s="16" t="n">
        <v>2025</v>
      </c>
      <c r="I2" s="16" t="n">
        <v>280</v>
      </c>
      <c r="J2" s="15" t="s">
        <v>335</v>
      </c>
      <c r="K2" s="17" t="s">
        <v>336</v>
      </c>
      <c r="L2" s="15" t="s">
        <v>337</v>
      </c>
    </row>
    <row r="3" customFormat="false" ht="15" hidden="false" customHeight="false" outlineLevel="0" collapsed="false">
      <c r="A3" s="15" t="s">
        <v>338</v>
      </c>
      <c r="B3" s="15" t="s">
        <v>339</v>
      </c>
      <c r="C3" s="16" t="n">
        <v>85</v>
      </c>
      <c r="D3" s="16" t="n">
        <v>90</v>
      </c>
      <c r="E3" s="16" t="n">
        <v>67</v>
      </c>
      <c r="F3" s="16" t="s">
        <v>334</v>
      </c>
      <c r="G3" s="16" t="n">
        <v>10</v>
      </c>
      <c r="H3" s="16" t="n">
        <v>2025</v>
      </c>
      <c r="I3" s="16" t="n">
        <v>500</v>
      </c>
      <c r="J3" s="15" t="s">
        <v>335</v>
      </c>
      <c r="K3" s="17" t="s">
        <v>336</v>
      </c>
      <c r="L3" s="15" t="s">
        <v>340</v>
      </c>
    </row>
    <row r="4" customFormat="false" ht="15" hidden="false" customHeight="false" outlineLevel="0" collapsed="false">
      <c r="A4" s="15" t="s">
        <v>341</v>
      </c>
      <c r="B4" s="15" t="s">
        <v>342</v>
      </c>
      <c r="C4" s="16" t="n">
        <v>70</v>
      </c>
      <c r="D4" s="16" t="n">
        <v>82</v>
      </c>
      <c r="E4" s="16" t="n">
        <v>40</v>
      </c>
      <c r="F4" s="16" t="s">
        <v>343</v>
      </c>
      <c r="G4" s="16" t="n">
        <v>9</v>
      </c>
      <c r="H4" s="16" t="n">
        <v>2025</v>
      </c>
      <c r="I4" s="16" t="n">
        <v>240</v>
      </c>
      <c r="J4" s="15" t="s">
        <v>335</v>
      </c>
      <c r="K4" s="17" t="s">
        <v>336</v>
      </c>
      <c r="L4" s="15" t="s">
        <v>344</v>
      </c>
    </row>
    <row r="5" customFormat="false" ht="15" hidden="false" customHeight="false" outlineLevel="0" collapsed="false">
      <c r="A5" s="15" t="s">
        <v>345</v>
      </c>
      <c r="B5" s="15" t="s">
        <v>342</v>
      </c>
      <c r="C5" s="16" t="n">
        <v>72</v>
      </c>
      <c r="D5" s="16" t="n">
        <v>82</v>
      </c>
      <c r="E5" s="16" t="n">
        <v>40</v>
      </c>
      <c r="F5" s="16" t="s">
        <v>343</v>
      </c>
      <c r="G5" s="16" t="n">
        <v>9</v>
      </c>
      <c r="H5" s="16" t="n">
        <v>2025</v>
      </c>
      <c r="I5" s="16" t="n">
        <v>320</v>
      </c>
      <c r="J5" s="15" t="s">
        <v>335</v>
      </c>
      <c r="K5" s="17" t="s">
        <v>336</v>
      </c>
      <c r="L5" s="15" t="s">
        <v>344</v>
      </c>
    </row>
    <row r="6" customFormat="false" ht="15" hidden="false" customHeight="false" outlineLevel="0" collapsed="false">
      <c r="A6" s="18" t="s">
        <v>346</v>
      </c>
      <c r="B6" s="18" t="s">
        <v>339</v>
      </c>
      <c r="C6" s="19" t="n">
        <v>72</v>
      </c>
      <c r="D6" s="19" t="n">
        <v>87</v>
      </c>
      <c r="E6" s="19" t="n">
        <v>35</v>
      </c>
      <c r="F6" s="19" t="s">
        <v>347</v>
      </c>
      <c r="G6" s="19" t="n">
        <v>9</v>
      </c>
      <c r="H6" s="19" t="n">
        <v>2026</v>
      </c>
      <c r="I6" s="19" t="n">
        <v>2586</v>
      </c>
      <c r="J6" s="18" t="s">
        <v>348</v>
      </c>
      <c r="K6" s="20" t="s">
        <v>349</v>
      </c>
      <c r="L6" s="18" t="s">
        <v>350</v>
      </c>
    </row>
    <row r="7" customFormat="false" ht="15" hidden="false" customHeight="false" outlineLevel="0" collapsed="false">
      <c r="A7" s="18" t="s">
        <v>351</v>
      </c>
      <c r="B7" s="18" t="s">
        <v>333</v>
      </c>
      <c r="C7" s="19" t="n">
        <v>70</v>
      </c>
      <c r="D7" s="19" t="n">
        <v>82</v>
      </c>
      <c r="E7" s="19" t="n">
        <v>45</v>
      </c>
      <c r="F7" s="19" t="s">
        <v>352</v>
      </c>
      <c r="G7" s="19" t="n">
        <v>8</v>
      </c>
      <c r="H7" s="19" t="n">
        <v>2026</v>
      </c>
      <c r="I7" s="19" t="n">
        <v>870</v>
      </c>
      <c r="J7" s="18" t="s">
        <v>335</v>
      </c>
      <c r="K7" s="20" t="s">
        <v>349</v>
      </c>
      <c r="L7" s="18" t="s">
        <v>353</v>
      </c>
    </row>
    <row r="8" customFormat="false" ht="15" hidden="false" customHeight="false" outlineLevel="0" collapsed="false">
      <c r="A8" s="18" t="s">
        <v>354</v>
      </c>
      <c r="B8" s="18" t="s">
        <v>339</v>
      </c>
      <c r="C8" s="19" t="n">
        <v>75</v>
      </c>
      <c r="D8" s="19" t="n">
        <v>85</v>
      </c>
      <c r="E8" s="19" t="n">
        <v>60</v>
      </c>
      <c r="F8" s="19" t="s">
        <v>343</v>
      </c>
      <c r="G8" s="19" t="n">
        <v>8</v>
      </c>
      <c r="H8" s="19" t="n">
        <v>2026</v>
      </c>
      <c r="I8" s="19" t="n">
        <v>600</v>
      </c>
      <c r="J8" s="18" t="s">
        <v>335</v>
      </c>
      <c r="K8" s="20" t="s">
        <v>349</v>
      </c>
      <c r="L8" s="18" t="s">
        <v>355</v>
      </c>
    </row>
    <row r="9" customFormat="false" ht="15" hidden="false" customHeight="false" outlineLevel="0" collapsed="false">
      <c r="A9" s="21" t="s">
        <v>356</v>
      </c>
      <c r="B9" s="21" t="s">
        <v>339</v>
      </c>
      <c r="C9" s="22" t="n">
        <v>62</v>
      </c>
      <c r="D9" s="22" t="n">
        <v>78</v>
      </c>
      <c r="E9" s="22" t="n">
        <v>20</v>
      </c>
      <c r="F9" s="22" t="s">
        <v>357</v>
      </c>
      <c r="G9" s="22" t="n">
        <v>8</v>
      </c>
      <c r="H9" s="22" t="n">
        <v>2027</v>
      </c>
      <c r="I9" s="22" t="n">
        <v>5045</v>
      </c>
      <c r="J9" s="21" t="s">
        <v>358</v>
      </c>
      <c r="K9" s="23" t="s">
        <v>359</v>
      </c>
      <c r="L9" s="21" t="s">
        <v>360</v>
      </c>
    </row>
    <row r="10" customFormat="false" ht="15" hidden="false" customHeight="false" outlineLevel="0" collapsed="false">
      <c r="A10" s="21" t="s">
        <v>361</v>
      </c>
      <c r="B10" s="21" t="s">
        <v>333</v>
      </c>
      <c r="C10" s="22" t="n">
        <v>58</v>
      </c>
      <c r="D10" s="22" t="n">
        <v>70</v>
      </c>
      <c r="E10" s="22" t="n">
        <v>12</v>
      </c>
      <c r="F10" s="22" t="s">
        <v>362</v>
      </c>
      <c r="G10" s="22" t="n">
        <v>7</v>
      </c>
      <c r="H10" s="22" t="n">
        <v>2027</v>
      </c>
      <c r="I10" s="22" t="n">
        <v>1400</v>
      </c>
      <c r="J10" s="21" t="s">
        <v>358</v>
      </c>
      <c r="K10" s="23" t="s">
        <v>359</v>
      </c>
      <c r="L10" s="21" t="s">
        <v>363</v>
      </c>
    </row>
    <row r="11" customFormat="false" ht="15" hidden="false" customHeight="false" outlineLevel="0" collapsed="false">
      <c r="A11" s="21" t="s">
        <v>364</v>
      </c>
      <c r="B11" s="21" t="s">
        <v>333</v>
      </c>
      <c r="C11" s="22" t="n">
        <v>55</v>
      </c>
      <c r="D11" s="22" t="n">
        <v>68</v>
      </c>
      <c r="E11" s="22" t="n">
        <v>12</v>
      </c>
      <c r="F11" s="22" t="s">
        <v>362</v>
      </c>
      <c r="G11" s="22" t="n">
        <v>7</v>
      </c>
      <c r="H11" s="22" t="n">
        <v>2027</v>
      </c>
      <c r="I11" s="22" t="n">
        <v>650</v>
      </c>
      <c r="J11" s="21" t="s">
        <v>358</v>
      </c>
      <c r="K11" s="23" t="s">
        <v>359</v>
      </c>
      <c r="L11" s="21" t="s">
        <v>365</v>
      </c>
    </row>
    <row r="12" customFormat="false" ht="15" hidden="false" customHeight="false" outlineLevel="0" collapsed="false">
      <c r="A12" s="21" t="s">
        <v>366</v>
      </c>
      <c r="B12" s="21" t="s">
        <v>333</v>
      </c>
      <c r="C12" s="22" t="n">
        <v>60</v>
      </c>
      <c r="D12" s="22" t="n">
        <v>72</v>
      </c>
      <c r="E12" s="22" t="n">
        <v>12</v>
      </c>
      <c r="F12" s="22" t="s">
        <v>362</v>
      </c>
      <c r="G12" s="22" t="n">
        <v>7</v>
      </c>
      <c r="H12" s="22" t="n">
        <v>2027</v>
      </c>
      <c r="I12" s="22" t="n">
        <v>620</v>
      </c>
      <c r="J12" s="21" t="s">
        <v>358</v>
      </c>
      <c r="K12" s="23" t="s">
        <v>359</v>
      </c>
      <c r="L12" s="21" t="s">
        <v>363</v>
      </c>
    </row>
    <row r="13" customFormat="false" ht="15" hidden="false" customHeight="false" outlineLevel="0" collapsed="false">
      <c r="A13" s="21" t="s">
        <v>367</v>
      </c>
      <c r="B13" s="21" t="s">
        <v>339</v>
      </c>
      <c r="C13" s="22" t="n">
        <v>55</v>
      </c>
      <c r="D13" s="22" t="n">
        <v>65</v>
      </c>
      <c r="E13" s="22" t="n">
        <v>30</v>
      </c>
      <c r="F13" s="22" t="s">
        <v>357</v>
      </c>
      <c r="G13" s="22" t="n">
        <v>7</v>
      </c>
      <c r="H13" s="22" t="n">
        <v>2028</v>
      </c>
      <c r="I13" s="22" t="n">
        <v>3105</v>
      </c>
      <c r="J13" s="21" t="s">
        <v>358</v>
      </c>
      <c r="K13" s="23" t="s">
        <v>359</v>
      </c>
      <c r="L13" s="21" t="s">
        <v>368</v>
      </c>
    </row>
    <row r="14" customFormat="false" ht="15" hidden="false" customHeight="false" outlineLevel="0" collapsed="false">
      <c r="A14" s="21" t="s">
        <v>369</v>
      </c>
      <c r="B14" s="21" t="s">
        <v>333</v>
      </c>
      <c r="C14" s="22" t="n">
        <v>50</v>
      </c>
      <c r="D14" s="22" t="n">
        <v>65</v>
      </c>
      <c r="E14" s="22" t="n">
        <v>8</v>
      </c>
      <c r="F14" s="22" t="n">
        <v>0</v>
      </c>
      <c r="G14" s="22" t="n">
        <v>6</v>
      </c>
      <c r="H14" s="22" t="n">
        <v>2028</v>
      </c>
      <c r="I14" s="22" t="n">
        <v>980</v>
      </c>
      <c r="J14" s="21" t="s">
        <v>358</v>
      </c>
      <c r="K14" s="23" t="s">
        <v>359</v>
      </c>
      <c r="L14" s="21" t="s">
        <v>370</v>
      </c>
    </row>
    <row r="15" customFormat="false" ht="15" hidden="false" customHeight="false" outlineLevel="0" collapsed="false">
      <c r="A15" s="21" t="s">
        <v>371</v>
      </c>
      <c r="B15" s="21" t="s">
        <v>339</v>
      </c>
      <c r="C15" s="22" t="n">
        <v>58</v>
      </c>
      <c r="D15" s="22" t="n">
        <v>72</v>
      </c>
      <c r="E15" s="22" t="n">
        <v>35</v>
      </c>
      <c r="F15" s="22" t="s">
        <v>372</v>
      </c>
      <c r="G15" s="22" t="n">
        <v>7</v>
      </c>
      <c r="H15" s="22" t="n">
        <v>2028</v>
      </c>
      <c r="I15" s="22" t="n">
        <v>780</v>
      </c>
      <c r="J15" s="21" t="s">
        <v>358</v>
      </c>
      <c r="K15" s="23" t="s">
        <v>359</v>
      </c>
      <c r="L15" s="21" t="s">
        <v>373</v>
      </c>
    </row>
    <row r="16" customFormat="false" ht="15" hidden="false" customHeight="false" outlineLevel="0" collapsed="false">
      <c r="A16" s="24" t="s">
        <v>374</v>
      </c>
      <c r="B16" s="24" t="s">
        <v>333</v>
      </c>
      <c r="C16" s="25" t="n">
        <v>42</v>
      </c>
      <c r="D16" s="25" t="n">
        <v>52</v>
      </c>
      <c r="E16" s="25" t="n">
        <v>5</v>
      </c>
      <c r="F16" s="25" t="s">
        <v>375</v>
      </c>
      <c r="G16" s="25" t="n">
        <v>5</v>
      </c>
      <c r="H16" s="25" t="n">
        <v>2030</v>
      </c>
      <c r="I16" s="25" t="n">
        <v>520</v>
      </c>
      <c r="J16" s="24" t="s">
        <v>376</v>
      </c>
      <c r="K16" s="26" t="s">
        <v>377</v>
      </c>
      <c r="L16" s="24" t="s">
        <v>378</v>
      </c>
    </row>
    <row r="17" customFormat="false" ht="15" hidden="false" customHeight="false" outlineLevel="0" collapsed="false">
      <c r="A17" s="24" t="s">
        <v>379</v>
      </c>
      <c r="B17" s="24" t="s">
        <v>333</v>
      </c>
      <c r="C17" s="25" t="n">
        <v>40</v>
      </c>
      <c r="D17" s="25" t="n">
        <v>50</v>
      </c>
      <c r="E17" s="25" t="n">
        <v>15</v>
      </c>
      <c r="F17" s="25" t="s">
        <v>380</v>
      </c>
      <c r="G17" s="25" t="n">
        <v>5</v>
      </c>
      <c r="H17" s="25" t="n">
        <v>2030</v>
      </c>
      <c r="I17" s="25" t="n">
        <v>1100</v>
      </c>
      <c r="J17" s="24" t="s">
        <v>376</v>
      </c>
      <c r="K17" s="26" t="s">
        <v>377</v>
      </c>
      <c r="L17" s="24" t="s">
        <v>378</v>
      </c>
    </row>
    <row r="18" customFormat="false" ht="15" hidden="false" customHeight="false" outlineLevel="0" collapsed="false">
      <c r="A18" s="24" t="s">
        <v>381</v>
      </c>
      <c r="B18" s="24" t="s">
        <v>333</v>
      </c>
      <c r="C18" s="25" t="n">
        <v>35</v>
      </c>
      <c r="D18" s="25" t="n">
        <v>45</v>
      </c>
      <c r="E18" s="25" t="n">
        <v>10</v>
      </c>
      <c r="F18" s="25" t="s">
        <v>382</v>
      </c>
      <c r="G18" s="25" t="n">
        <v>5</v>
      </c>
      <c r="H18" s="25" t="n">
        <v>2032</v>
      </c>
      <c r="I18" s="25" t="n">
        <v>1200</v>
      </c>
      <c r="J18" s="24" t="s">
        <v>376</v>
      </c>
      <c r="K18" s="26" t="s">
        <v>377</v>
      </c>
      <c r="L18" s="24" t="s">
        <v>378</v>
      </c>
    </row>
    <row r="19" customFormat="false" ht="15" hidden="false" customHeight="false" outlineLevel="0" collapsed="false">
      <c r="A19" s="4" t="s">
        <v>383</v>
      </c>
      <c r="B19" s="4" t="s">
        <v>339</v>
      </c>
      <c r="C19" s="5" t="n">
        <v>28</v>
      </c>
      <c r="D19" s="5" t="n">
        <v>35</v>
      </c>
      <c r="E19" s="5" t="n">
        <v>0</v>
      </c>
      <c r="F19" s="5" t="s">
        <v>384</v>
      </c>
      <c r="G19" s="5" t="n">
        <v>4</v>
      </c>
      <c r="H19" s="5" t="n">
        <v>2035</v>
      </c>
      <c r="I19" s="5" t="n">
        <v>1350</v>
      </c>
      <c r="J19" s="4" t="s">
        <v>385</v>
      </c>
      <c r="K19" s="27" t="s">
        <v>386</v>
      </c>
      <c r="L19" s="4" t="s">
        <v>387</v>
      </c>
    </row>
    <row r="20" customFormat="false" ht="15" hidden="false" customHeight="false" outlineLevel="0" collapsed="false">
      <c r="A20" s="28" t="s">
        <v>388</v>
      </c>
      <c r="B20" s="28" t="s">
        <v>333</v>
      </c>
      <c r="C20" s="29" t="n">
        <v>18</v>
      </c>
      <c r="D20" s="29" t="n">
        <v>20</v>
      </c>
      <c r="E20" s="29" t="n">
        <v>5</v>
      </c>
      <c r="F20" s="29" t="s">
        <v>389</v>
      </c>
      <c r="G20" s="29" t="n">
        <v>3</v>
      </c>
      <c r="H20" s="29" t="n">
        <v>2038</v>
      </c>
      <c r="I20" s="29" t="n">
        <v>1600</v>
      </c>
      <c r="J20" s="28" t="s">
        <v>385</v>
      </c>
      <c r="K20" s="30" t="s">
        <v>390</v>
      </c>
      <c r="L20" s="28" t="s">
        <v>391</v>
      </c>
    </row>
    <row r="21" customFormat="false" ht="15" hidden="false" customHeight="false" outlineLevel="0" collapsed="false">
      <c r="A21" s="28" t="s">
        <v>392</v>
      </c>
      <c r="B21" s="28" t="s">
        <v>333</v>
      </c>
      <c r="C21" s="29" t="n">
        <v>20</v>
      </c>
      <c r="D21" s="29" t="n">
        <v>22</v>
      </c>
      <c r="E21" s="29" t="n">
        <v>0</v>
      </c>
      <c r="F21" s="29" t="s">
        <v>375</v>
      </c>
      <c r="G21" s="29" t="n">
        <v>3</v>
      </c>
      <c r="H21" s="29" t="n">
        <v>2038</v>
      </c>
      <c r="I21" s="29" t="n">
        <v>480</v>
      </c>
      <c r="J21" s="28" t="s">
        <v>385</v>
      </c>
      <c r="K21" s="30" t="s">
        <v>390</v>
      </c>
      <c r="L21" s="28" t="s">
        <v>393</v>
      </c>
    </row>
    <row r="22" customFormat="false" ht="15" hidden="false" customHeight="false" outlineLevel="0" collapsed="false">
      <c r="A22" s="28" t="s">
        <v>394</v>
      </c>
      <c r="B22" s="28" t="s">
        <v>333</v>
      </c>
      <c r="C22" s="29" t="n">
        <v>12</v>
      </c>
      <c r="D22" s="29" t="n">
        <v>15</v>
      </c>
      <c r="E22" s="29" t="n">
        <v>0</v>
      </c>
      <c r="F22" s="29" t="s">
        <v>395</v>
      </c>
      <c r="G22" s="29" t="n">
        <v>2</v>
      </c>
      <c r="H22" s="29" t="n">
        <v>2040</v>
      </c>
      <c r="I22" s="29" t="n">
        <v>720</v>
      </c>
      <c r="J22" s="28" t="s">
        <v>385</v>
      </c>
      <c r="K22" s="30" t="s">
        <v>390</v>
      </c>
      <c r="L22" s="28" t="s">
        <v>396</v>
      </c>
    </row>
    <row r="23" customFormat="false" ht="15" hidden="false" customHeight="false" outlineLevel="0" collapsed="false">
      <c r="A23" s="28" t="s">
        <v>397</v>
      </c>
      <c r="B23" s="28" t="s">
        <v>339</v>
      </c>
      <c r="C23" s="29" t="n">
        <v>20</v>
      </c>
      <c r="D23" s="29" t="n">
        <v>25</v>
      </c>
      <c r="E23" s="29" t="n">
        <v>45</v>
      </c>
      <c r="F23" s="29" t="s">
        <v>398</v>
      </c>
      <c r="G23" s="29" t="n">
        <v>3</v>
      </c>
      <c r="H23" s="29" t="n">
        <v>2038</v>
      </c>
      <c r="I23" s="29" t="n">
        <v>820</v>
      </c>
      <c r="J23" s="28" t="s">
        <v>399</v>
      </c>
      <c r="K23" s="30" t="s">
        <v>390</v>
      </c>
      <c r="L23" s="28" t="s">
        <v>400</v>
      </c>
    </row>
    <row r="24" customFormat="false" ht="15" hidden="false" customHeight="false" outlineLevel="0" collapsed="false">
      <c r="A24" s="28" t="s">
        <v>401</v>
      </c>
      <c r="B24" s="28" t="s">
        <v>333</v>
      </c>
      <c r="C24" s="29" t="n">
        <v>25</v>
      </c>
      <c r="D24" s="29" t="n">
        <v>30</v>
      </c>
      <c r="E24" s="29" t="n">
        <v>0</v>
      </c>
      <c r="F24" s="29" t="s">
        <v>402</v>
      </c>
      <c r="G24" s="29" t="n">
        <v>3</v>
      </c>
      <c r="H24" s="29" t="n">
        <v>2036</v>
      </c>
      <c r="I24" s="29" t="n">
        <v>580</v>
      </c>
      <c r="J24" s="28" t="s">
        <v>385</v>
      </c>
      <c r="K24" s="30" t="s">
        <v>390</v>
      </c>
      <c r="L24" s="28" t="s">
        <v>403</v>
      </c>
    </row>
    <row r="25" customFormat="false" ht="15" hidden="false" customHeight="false" outlineLevel="0" collapsed="false">
      <c r="A25" s="4" t="s">
        <v>404</v>
      </c>
      <c r="B25" s="4" t="s">
        <v>333</v>
      </c>
      <c r="C25" s="5" t="n">
        <v>10</v>
      </c>
      <c r="D25" s="5" t="n">
        <v>12</v>
      </c>
      <c r="E25" s="5" t="n">
        <v>0</v>
      </c>
      <c r="F25" s="5" t="s">
        <v>405</v>
      </c>
      <c r="G25" s="5" t="n">
        <v>1</v>
      </c>
      <c r="H25" s="5" t="n">
        <v>2045</v>
      </c>
      <c r="I25" s="5" t="n">
        <v>3550</v>
      </c>
      <c r="J25" s="4" t="s">
        <v>385</v>
      </c>
      <c r="K25" s="27" t="s">
        <v>406</v>
      </c>
      <c r="L25" s="4" t="s">
        <v>407</v>
      </c>
    </row>
    <row r="26" customFormat="false" ht="15" hidden="false" customHeight="false" outlineLevel="0" collapsed="false">
      <c r="A26" s="4" t="s">
        <v>408</v>
      </c>
      <c r="B26" s="4" t="s">
        <v>339</v>
      </c>
      <c r="C26" s="5" t="n">
        <v>15</v>
      </c>
      <c r="D26" s="5" t="n">
        <v>20</v>
      </c>
      <c r="E26" s="5" t="n">
        <v>5</v>
      </c>
      <c r="F26" s="5" t="s">
        <v>398</v>
      </c>
      <c r="G26" s="5" t="n">
        <v>2</v>
      </c>
      <c r="H26" s="5" t="n">
        <v>2040</v>
      </c>
      <c r="I26" s="5" t="n">
        <v>2200</v>
      </c>
      <c r="J26" s="4" t="s">
        <v>385</v>
      </c>
      <c r="K26" s="27" t="s">
        <v>406</v>
      </c>
      <c r="L26" s="4" t="s">
        <v>409</v>
      </c>
    </row>
    <row r="27" customFormat="false" ht="15" hidden="false" customHeight="false" outlineLevel="0" collapsed="false">
      <c r="A27" s="4" t="s">
        <v>410</v>
      </c>
      <c r="B27" s="4" t="s">
        <v>339</v>
      </c>
      <c r="C27" s="5" t="n">
        <v>14</v>
      </c>
      <c r="D27" s="5" t="n">
        <v>18</v>
      </c>
      <c r="E27" s="5" t="n">
        <v>0</v>
      </c>
      <c r="F27" s="5" t="s">
        <v>398</v>
      </c>
      <c r="G27" s="5" t="n">
        <v>2</v>
      </c>
      <c r="H27" s="5" t="n">
        <v>2042</v>
      </c>
      <c r="I27" s="5" t="n">
        <v>1900</v>
      </c>
      <c r="J27" s="4" t="s">
        <v>385</v>
      </c>
      <c r="K27" s="27" t="s">
        <v>406</v>
      </c>
      <c r="L27" s="4" t="s">
        <v>411</v>
      </c>
    </row>
    <row r="28" customFormat="false" ht="22.35" hidden="false" customHeight="false" outlineLevel="0" collapsed="false">
      <c r="A28" s="31" t="s">
        <v>412</v>
      </c>
      <c r="B28" s="31" t="s">
        <v>339</v>
      </c>
      <c r="C28" s="32" t="n">
        <v>18</v>
      </c>
      <c r="D28" s="32" t="n">
        <v>22</v>
      </c>
      <c r="E28" s="32" t="n">
        <v>33</v>
      </c>
      <c r="F28" s="32" t="s">
        <v>413</v>
      </c>
      <c r="G28" s="32" t="n">
        <v>2</v>
      </c>
      <c r="H28" s="32" t="n">
        <v>2040</v>
      </c>
      <c r="I28" s="32" t="n">
        <v>540</v>
      </c>
      <c r="J28" s="31" t="s">
        <v>414</v>
      </c>
      <c r="K28" s="33" t="s">
        <v>415</v>
      </c>
      <c r="L28" s="31" t="s">
        <v>416</v>
      </c>
    </row>
    <row r="29" customFormat="false" ht="15" hidden="false" customHeight="false" outlineLevel="0" collapsed="false">
      <c r="A29" s="31" t="s">
        <v>417</v>
      </c>
      <c r="B29" s="31" t="s">
        <v>339</v>
      </c>
      <c r="C29" s="32" t="n">
        <v>8</v>
      </c>
      <c r="D29" s="32" t="n">
        <v>10</v>
      </c>
      <c r="E29" s="32" t="n">
        <v>0</v>
      </c>
      <c r="F29" s="32" t="s">
        <v>418</v>
      </c>
      <c r="G29" s="32" t="n">
        <v>1</v>
      </c>
      <c r="H29" s="32" t="n">
        <v>2050</v>
      </c>
      <c r="I29" s="32" t="n">
        <v>200</v>
      </c>
      <c r="J29" s="31" t="s">
        <v>385</v>
      </c>
      <c r="K29" s="33" t="s">
        <v>415</v>
      </c>
      <c r="L29" s="31" t="s">
        <v>411</v>
      </c>
    </row>
    <row r="30" customFormat="false" ht="15" hidden="false" customHeight="false" outlineLevel="0" collapsed="false">
      <c r="A30" s="31" t="s">
        <v>419</v>
      </c>
      <c r="B30" s="31" t="s">
        <v>339</v>
      </c>
      <c r="C30" s="32" t="n">
        <v>5</v>
      </c>
      <c r="D30" s="32" t="n">
        <v>8</v>
      </c>
      <c r="E30" s="32" t="n">
        <v>0</v>
      </c>
      <c r="F30" s="32" t="s">
        <v>420</v>
      </c>
      <c r="G30" s="32" t="n">
        <v>1</v>
      </c>
      <c r="H30" s="32" t="n">
        <v>2055</v>
      </c>
      <c r="I30" s="32" t="n">
        <v>180</v>
      </c>
      <c r="J30" s="31" t="s">
        <v>385</v>
      </c>
      <c r="K30" s="33" t="s">
        <v>415</v>
      </c>
      <c r="L30" s="31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28"/>
    <col collapsed="false" customWidth="true" hidden="false" outlineLevel="0" max="6" min="6" style="0" width="55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5"/>
    <col collapsed="false" customWidth="true" hidden="false" outlineLevel="0" max="10" min="10" style="0" width="55"/>
  </cols>
  <sheetData>
    <row r="1" customFormat="false" ht="39.75" hidden="false" customHeight="true" outlineLevel="0" collapsed="false">
      <c r="A1" s="34" t="s">
        <v>421</v>
      </c>
      <c r="B1" s="34" t="s">
        <v>422</v>
      </c>
      <c r="C1" s="34" t="s">
        <v>423</v>
      </c>
      <c r="D1" s="34" t="s">
        <v>211</v>
      </c>
      <c r="E1" s="34" t="s">
        <v>424</v>
      </c>
      <c r="F1" s="34" t="s">
        <v>425</v>
      </c>
      <c r="G1" s="34" t="s">
        <v>426</v>
      </c>
      <c r="H1" s="34" t="s">
        <v>427</v>
      </c>
      <c r="I1" s="34" t="s">
        <v>428</v>
      </c>
      <c r="J1" s="34" t="s">
        <v>429</v>
      </c>
    </row>
    <row r="2" customFormat="false" ht="32.8" hidden="false" customHeight="false" outlineLevel="0" collapsed="false">
      <c r="A2" s="2" t="s">
        <v>430</v>
      </c>
      <c r="B2" s="3" t="s">
        <v>431</v>
      </c>
      <c r="C2" s="2" t="s">
        <v>432</v>
      </c>
      <c r="D2" s="2" t="s">
        <v>433</v>
      </c>
      <c r="E2" s="2" t="s">
        <v>434</v>
      </c>
      <c r="F2" s="2" t="s">
        <v>435</v>
      </c>
      <c r="G2" s="3" t="s">
        <v>436</v>
      </c>
      <c r="H2" s="3" t="s">
        <v>437</v>
      </c>
      <c r="I2" s="2" t="s">
        <v>438</v>
      </c>
      <c r="J2" s="2" t="s">
        <v>439</v>
      </c>
    </row>
    <row r="3" customFormat="false" ht="22.35" hidden="false" customHeight="false" outlineLevel="0" collapsed="false">
      <c r="A3" s="4" t="s">
        <v>440</v>
      </c>
      <c r="B3" s="5" t="s">
        <v>441</v>
      </c>
      <c r="C3" s="4" t="s">
        <v>442</v>
      </c>
      <c r="D3" s="4" t="s">
        <v>443</v>
      </c>
      <c r="E3" s="4" t="s">
        <v>444</v>
      </c>
      <c r="F3" s="4" t="s">
        <v>445</v>
      </c>
      <c r="G3" s="5" t="s">
        <v>446</v>
      </c>
      <c r="H3" s="5" t="s">
        <v>447</v>
      </c>
      <c r="I3" s="4" t="s">
        <v>448</v>
      </c>
      <c r="J3" s="4" t="s">
        <v>449</v>
      </c>
    </row>
    <row r="4" customFormat="false" ht="22.35" hidden="false" customHeight="false" outlineLevel="0" collapsed="false">
      <c r="A4" s="2" t="s">
        <v>450</v>
      </c>
      <c r="B4" s="3" t="s">
        <v>451</v>
      </c>
      <c r="C4" s="2" t="s">
        <v>452</v>
      </c>
      <c r="D4" s="2" t="s">
        <v>453</v>
      </c>
      <c r="E4" s="2" t="s">
        <v>454</v>
      </c>
      <c r="F4" s="2" t="s">
        <v>455</v>
      </c>
      <c r="G4" s="3" t="s">
        <v>456</v>
      </c>
      <c r="H4" s="3" t="s">
        <v>457</v>
      </c>
      <c r="I4" s="2" t="s">
        <v>458</v>
      </c>
      <c r="J4" s="2" t="s">
        <v>459</v>
      </c>
    </row>
    <row r="5" customFormat="false" ht="22.35" hidden="false" customHeight="false" outlineLevel="0" collapsed="false">
      <c r="A5" s="4" t="s">
        <v>460</v>
      </c>
      <c r="B5" s="5" t="s">
        <v>283</v>
      </c>
      <c r="C5" s="4" t="s">
        <v>461</v>
      </c>
      <c r="D5" s="4" t="s">
        <v>462</v>
      </c>
      <c r="E5" s="4" t="s">
        <v>463</v>
      </c>
      <c r="F5" s="4" t="s">
        <v>464</v>
      </c>
      <c r="G5" s="5" t="s">
        <v>465</v>
      </c>
      <c r="H5" s="5" t="s">
        <v>466</v>
      </c>
      <c r="I5" s="4" t="s">
        <v>467</v>
      </c>
      <c r="J5" s="4" t="s">
        <v>468</v>
      </c>
    </row>
    <row r="6" customFormat="false" ht="22.35" hidden="false" customHeight="false" outlineLevel="0" collapsed="false">
      <c r="A6" s="2" t="s">
        <v>469</v>
      </c>
      <c r="B6" s="3" t="s">
        <v>470</v>
      </c>
      <c r="C6" s="2" t="s">
        <v>471</v>
      </c>
      <c r="D6" s="2" t="s">
        <v>472</v>
      </c>
      <c r="E6" s="2" t="s">
        <v>473</v>
      </c>
      <c r="F6" s="2" t="s">
        <v>474</v>
      </c>
      <c r="G6" s="3" t="s">
        <v>475</v>
      </c>
      <c r="H6" s="3" t="s">
        <v>476</v>
      </c>
      <c r="I6" s="2" t="s">
        <v>477</v>
      </c>
      <c r="J6" s="2" t="s">
        <v>478</v>
      </c>
    </row>
    <row r="7" customFormat="false" ht="32.8" hidden="false" customHeight="false" outlineLevel="0" collapsed="false">
      <c r="A7" s="4" t="s">
        <v>479</v>
      </c>
      <c r="B7" s="5" t="s">
        <v>480</v>
      </c>
      <c r="C7" s="4" t="s">
        <v>481</v>
      </c>
      <c r="D7" s="4" t="s">
        <v>482</v>
      </c>
      <c r="E7" s="4" t="s">
        <v>483</v>
      </c>
      <c r="F7" s="4" t="s">
        <v>484</v>
      </c>
      <c r="G7" s="5" t="s">
        <v>485</v>
      </c>
      <c r="H7" s="5" t="s">
        <v>486</v>
      </c>
      <c r="I7" s="4" t="s">
        <v>487</v>
      </c>
      <c r="J7" s="4" t="s">
        <v>488</v>
      </c>
    </row>
    <row r="8" customFormat="false" ht="22.35" hidden="false" customHeight="false" outlineLevel="0" collapsed="false">
      <c r="A8" s="2" t="s">
        <v>489</v>
      </c>
      <c r="B8" s="3" t="s">
        <v>470</v>
      </c>
      <c r="C8" s="2" t="s">
        <v>490</v>
      </c>
      <c r="D8" s="2" t="s">
        <v>491</v>
      </c>
      <c r="E8" s="2" t="s">
        <v>492</v>
      </c>
      <c r="F8" s="2" t="s">
        <v>493</v>
      </c>
      <c r="G8" s="3" t="s">
        <v>494</v>
      </c>
      <c r="H8" s="3" t="s">
        <v>495</v>
      </c>
      <c r="I8" s="2" t="s">
        <v>496</v>
      </c>
      <c r="J8" s="2" t="s">
        <v>497</v>
      </c>
    </row>
    <row r="9" customFormat="false" ht="32.8" hidden="false" customHeight="false" outlineLevel="0" collapsed="false">
      <c r="A9" s="4" t="s">
        <v>498</v>
      </c>
      <c r="B9" s="5" t="s">
        <v>302</v>
      </c>
      <c r="C9" s="4" t="s">
        <v>499</v>
      </c>
      <c r="D9" s="4" t="s">
        <v>500</v>
      </c>
      <c r="E9" s="4" t="s">
        <v>501</v>
      </c>
      <c r="F9" s="4" t="s">
        <v>502</v>
      </c>
      <c r="G9" s="5" t="s">
        <v>503</v>
      </c>
      <c r="H9" s="5" t="s">
        <v>504</v>
      </c>
      <c r="I9" s="4" t="s">
        <v>505</v>
      </c>
      <c r="J9" s="4" t="s">
        <v>506</v>
      </c>
    </row>
    <row r="10" customFormat="false" ht="32.8" hidden="false" customHeight="false" outlineLevel="0" collapsed="false">
      <c r="A10" s="2" t="s">
        <v>507</v>
      </c>
      <c r="B10" s="3" t="s">
        <v>470</v>
      </c>
      <c r="C10" s="2" t="s">
        <v>508</v>
      </c>
      <c r="D10" s="2" t="s">
        <v>509</v>
      </c>
      <c r="E10" s="2" t="s">
        <v>510</v>
      </c>
      <c r="F10" s="2" t="s">
        <v>511</v>
      </c>
      <c r="G10" s="3" t="s">
        <v>512</v>
      </c>
      <c r="H10" s="3" t="s">
        <v>513</v>
      </c>
      <c r="I10" s="2" t="s">
        <v>514</v>
      </c>
      <c r="J10" s="2" t="s">
        <v>515</v>
      </c>
    </row>
    <row r="11" customFormat="false" ht="32.8" hidden="false" customHeight="false" outlineLevel="0" collapsed="false">
      <c r="A11" s="4" t="s">
        <v>516</v>
      </c>
      <c r="B11" s="5" t="s">
        <v>283</v>
      </c>
      <c r="C11" s="4" t="s">
        <v>517</v>
      </c>
      <c r="D11" s="4" t="s">
        <v>518</v>
      </c>
      <c r="E11" s="4" t="s">
        <v>519</v>
      </c>
      <c r="F11" s="4" t="s">
        <v>520</v>
      </c>
      <c r="G11" s="5" t="s">
        <v>521</v>
      </c>
      <c r="H11" s="5" t="s">
        <v>522</v>
      </c>
      <c r="I11" s="4" t="s">
        <v>523</v>
      </c>
      <c r="J11" s="4" t="s">
        <v>524</v>
      </c>
    </row>
    <row r="12" customFormat="false" ht="32.8" hidden="false" customHeight="false" outlineLevel="0" collapsed="false">
      <c r="A12" s="2" t="s">
        <v>525</v>
      </c>
      <c r="B12" s="3" t="s">
        <v>526</v>
      </c>
      <c r="C12" s="2" t="s">
        <v>527</v>
      </c>
      <c r="D12" s="2" t="s">
        <v>528</v>
      </c>
      <c r="E12" s="2" t="s">
        <v>529</v>
      </c>
      <c r="F12" s="2" t="s">
        <v>530</v>
      </c>
      <c r="G12" s="3" t="s">
        <v>531</v>
      </c>
      <c r="H12" s="3" t="s">
        <v>532</v>
      </c>
      <c r="I12" s="2" t="s">
        <v>533</v>
      </c>
      <c r="J12" s="2" t="s">
        <v>534</v>
      </c>
    </row>
    <row r="13" customFormat="false" ht="22.35" hidden="false" customHeight="false" outlineLevel="0" collapsed="false">
      <c r="A13" s="4" t="s">
        <v>535</v>
      </c>
      <c r="B13" s="5" t="s">
        <v>302</v>
      </c>
      <c r="C13" s="4" t="s">
        <v>536</v>
      </c>
      <c r="D13" s="4" t="s">
        <v>537</v>
      </c>
      <c r="E13" s="4" t="s">
        <v>538</v>
      </c>
      <c r="F13" s="4" t="s">
        <v>539</v>
      </c>
      <c r="G13" s="5" t="s">
        <v>540</v>
      </c>
      <c r="H13" s="5" t="s">
        <v>541</v>
      </c>
      <c r="I13" s="4" t="s">
        <v>542</v>
      </c>
      <c r="J13" s="4" t="s">
        <v>543</v>
      </c>
    </row>
    <row r="14" customFormat="false" ht="32.8" hidden="false" customHeight="false" outlineLevel="0" collapsed="false">
      <c r="A14" s="2" t="s">
        <v>544</v>
      </c>
      <c r="B14" s="3" t="s">
        <v>302</v>
      </c>
      <c r="C14" s="2" t="s">
        <v>442</v>
      </c>
      <c r="D14" s="2" t="s">
        <v>545</v>
      </c>
      <c r="E14" s="2" t="s">
        <v>546</v>
      </c>
      <c r="F14" s="2" t="s">
        <v>547</v>
      </c>
      <c r="G14" s="3" t="s">
        <v>548</v>
      </c>
      <c r="H14" s="3" t="s">
        <v>549</v>
      </c>
      <c r="I14" s="2" t="s">
        <v>550</v>
      </c>
      <c r="J14" s="2" t="s">
        <v>551</v>
      </c>
    </row>
    <row r="15" customFormat="false" ht="22.35" hidden="false" customHeight="false" outlineLevel="0" collapsed="false">
      <c r="A15" s="4" t="s">
        <v>552</v>
      </c>
      <c r="B15" s="5" t="s">
        <v>553</v>
      </c>
      <c r="C15" s="4" t="s">
        <v>554</v>
      </c>
      <c r="D15" s="4" t="s">
        <v>555</v>
      </c>
      <c r="E15" s="4" t="s">
        <v>556</v>
      </c>
      <c r="F15" s="4" t="s">
        <v>557</v>
      </c>
      <c r="G15" s="5" t="s">
        <v>558</v>
      </c>
      <c r="H15" s="5" t="s">
        <v>559</v>
      </c>
      <c r="I15" s="4" t="s">
        <v>560</v>
      </c>
      <c r="J15" s="4" t="s">
        <v>561</v>
      </c>
    </row>
    <row r="16" customFormat="false" ht="32.8" hidden="false" customHeight="false" outlineLevel="0" collapsed="false">
      <c r="A16" s="2" t="s">
        <v>562</v>
      </c>
      <c r="B16" s="3" t="s">
        <v>553</v>
      </c>
      <c r="C16" s="2" t="s">
        <v>563</v>
      </c>
      <c r="D16" s="2" t="s">
        <v>564</v>
      </c>
      <c r="E16" s="2" t="s">
        <v>565</v>
      </c>
      <c r="F16" s="2" t="s">
        <v>566</v>
      </c>
      <c r="G16" s="3" t="s">
        <v>567</v>
      </c>
      <c r="H16" s="3" t="s">
        <v>568</v>
      </c>
      <c r="I16" s="2" t="s">
        <v>569</v>
      </c>
      <c r="J16" s="2" t="s">
        <v>570</v>
      </c>
    </row>
    <row r="18" customFormat="false" ht="45" hidden="false" customHeight="true" outlineLevel="0" collapsed="false">
      <c r="A18" s="35" t="s">
        <v>571</v>
      </c>
      <c r="B18" s="35"/>
      <c r="C18" s="35"/>
      <c r="D18" s="35"/>
      <c r="E18" s="35"/>
      <c r="F18" s="35"/>
      <c r="G18" s="35"/>
      <c r="H18" s="35"/>
      <c r="I18" s="35"/>
      <c r="J18" s="35"/>
    </row>
  </sheetData>
  <mergeCells count="1"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2026-03-28T12:39:47Z</dcterms:created>
  <dc:creator>openpyxl</dc:creator>
  <dc:description/>
  <dc:language>en-US</dc:language>
  <cp:lastModifiedBy/>
  <dcterms:modified xsi:type="dcterms:W3CDTF">2026-03-28T12:39:47Z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