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ificacion_Automatizac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<sst xmlns="http://schemas.openxmlformats.org/spreadsheetml/2006/main" count="254" uniqueCount="166">
  <si>
    <t xml:space="preserve">N°</t>
  </si>
  <si>
    <t xml:space="preserve">Tipo de Tarea / Actividad</t>
  </si>
  <si>
    <t xml:space="preserve">Categoría</t>
  </si>
  <si>
    <t xml:space="preserve">% Automatizable
(Oxford / Frey-Osborne)</t>
  </si>
  <si>
    <t xml:space="preserve">% Automatizable
(McKinsey Gen-AI 2024)</t>
  </si>
  <si>
    <t xml:space="preserve">Diferencia
(McKinsey - Oxford)</t>
  </si>
  <si>
    <t xml:space="preserve">Fuente Oxford / Académica</t>
  </si>
  <si>
    <t xml:space="preserve">Fuente McKinsey / Consultora</t>
  </si>
  <si>
    <t xml:space="preserve">Año del Dato</t>
  </si>
  <si>
    <t xml:space="preserve">Presente en
Mallas Ecuador</t>
  </si>
  <si>
    <t xml:space="preserve">Ejemplos de Carreras EC</t>
  </si>
  <si>
    <t xml:space="preserve">Horizonte Reemplazo</t>
  </si>
  <si>
    <t xml:space="preserve">URL / Referencia verificable</t>
  </si>
  <si>
    <t xml:space="preserve">Entrada y procesamiento de datos</t>
  </si>
  <si>
    <t xml:space="preserve">REPETITIVA</t>
  </si>
  <si>
    <t xml:space="preserve">Frey &amp; Osborne 2013 (Oxford) — 'The Future of Employment', tabla categoría 'Data Entry'</t>
  </si>
  <si>
    <t xml:space="preserve">McKinsey Gen-AI Report 2023 — 'The Economic Potential of Generative AI', Fig. 3</t>
  </si>
  <si>
    <t xml:space="preserve">2013 / 2023</t>
  </si>
  <si>
    <t xml:space="preserve">SÍ — muy alta</t>
  </si>
  <si>
    <t xml:space="preserve">Contabilidad, Admin, Secretariado, Derecho</t>
  </si>
  <si>
    <t xml:space="preserve">2025–2028</t>
  </si>
  <si>
    <t xml:space="preserve">https://www.oxfordmartin.ox.ac.uk/downloads/academic/future-of-employment.pdf | https://www.mckinsey.com/capabilities/mckinsey-digital/our-insights/the-economic-potential-of-generative-ai</t>
  </si>
  <si>
    <t xml:space="preserve">Archivo y clasificación de documentos</t>
  </si>
  <si>
    <t xml:space="preserve">Frey &amp; Osborne 2013 — categorías 'Filing Clerks', 'Office Support Workers'</t>
  </si>
  <si>
    <t xml:space="preserve">McKinsey Gen-AI 2023 — categoría 'Document processing automation'</t>
  </si>
  <si>
    <t xml:space="preserve">SÍ — alta</t>
  </si>
  <si>
    <t xml:space="preserve">Derecho, Contabilidad, Secretariado</t>
  </si>
  <si>
    <t xml:space="preserve">2025–2027</t>
  </si>
  <si>
    <t xml:space="preserve">https://www.oxfordmartin.ox.ac.uk/downloads/academic/future-of-employment.pdf</t>
  </si>
  <si>
    <t xml:space="preserve">Atención al cliente básica (call center)</t>
  </si>
  <si>
    <t xml:space="preserve">Frey &amp; Osborne — 'Customer Service Representatives' P=0.55 ajustado Gen-AI</t>
  </si>
  <si>
    <t xml:space="preserve">McKinsey 2023 p.18 — 'Customer Operations' sector más impactado por Gen-AI</t>
  </si>
  <si>
    <t xml:space="preserve">SÍ — media</t>
  </si>
  <si>
    <t xml:space="preserve">Marketing, Comunicación, Admin</t>
  </si>
  <si>
    <t xml:space="preserve">https://www.mckinsey.com/capabilities/mckinsey-digital/our-insights/the-economic-potential-of-generative-ai</t>
  </si>
  <si>
    <t xml:space="preserve">Redacción de contratos estándar</t>
  </si>
  <si>
    <t xml:space="preserve">Frey &amp; Osborne — 'Paralegals and Legal Assistants' P=0.94</t>
  </si>
  <si>
    <t xml:space="preserve">Stanford HAI AI Index 2025 — Harvey/CoCounsel: 90% precisión redacción legal</t>
  </si>
  <si>
    <t xml:space="preserve">2013 / 2025</t>
  </si>
  <si>
    <t xml:space="preserve">Derecho / Abogacía</t>
  </si>
  <si>
    <t xml:space="preserve">2026–2028</t>
  </si>
  <si>
    <t xml:space="preserve">https://aiindex.stanford.edu/report/ | https://hai.stanford.edu/ai-index-2025</t>
  </si>
  <si>
    <t xml:space="preserve">Contabilidad básica / facturación</t>
  </si>
  <si>
    <t xml:space="preserve">Frey &amp; Osborne — 'Bookkeeping, Accounting, Auditing Clerks' P=0.98 (uno de los más altos)</t>
  </si>
  <si>
    <t xml:space="preserve">McKinsey Gen-AI 2023 — Finance &amp; Accounting: 72% tareas automatizables</t>
  </si>
  <si>
    <t xml:space="preserve">Contabilidad y Auditoría</t>
  </si>
  <si>
    <t xml:space="preserve">Modelado financiero repetitivo</t>
  </si>
  <si>
    <t xml:space="preserve">Arntz, Gregory &amp; Zierahn (OCDE 2016) — ajuste por tareas dentro de ocupaciones</t>
  </si>
  <si>
    <t xml:space="preserve">McKinsey 2023 — 'Financial data analysis' categoría media-alta automatización</t>
  </si>
  <si>
    <t xml:space="preserve">2016 / 2023</t>
  </si>
  <si>
    <t xml:space="preserve">Economía, Finanzas, Admin</t>
  </si>
  <si>
    <t xml:space="preserve">2027–2030</t>
  </si>
  <si>
    <t xml:space="preserve">https://www.oecd-ilibrary.org/social-issues-migration-health/the-risk-of-automation_5jlz9h56dvq7-en</t>
  </si>
  <si>
    <t xml:space="preserve">Diseño gráfico básico (plantillas/templates)</t>
  </si>
  <si>
    <t xml:space="preserve">Frey &amp; Osborne — 'Graphic Designers' P=0.83; también Xataka/China 2026: eliminación carrera</t>
  </si>
  <si>
    <t xml:space="preserve">Adobe Firefly / DALL-E impact study 2024; McKinsey Creative sector +70%</t>
  </si>
  <si>
    <t xml:space="preserve">2013 / 2024</t>
  </si>
  <si>
    <t xml:space="preserve">Diseño Gráfico, Comunicación</t>
  </si>
  <si>
    <t xml:space="preserve">https://www.xataka.com/magnet/universidades-top-china-esta-eliminando-carreras-artes-su-explicacion-ia-futuro</t>
  </si>
  <si>
    <t xml:space="preserve">Traducción de textos estándar</t>
  </si>
  <si>
    <t xml:space="preserve">Frey &amp; Osborne — 'Interpreters and Translators' P=0.38; revisado al alza por LLMs 2023</t>
  </si>
  <si>
    <t xml:space="preserve">McKinsey 2023 — Language tasks: entre las más afectadas por Gen-AI (GPT-4 / DeepL)</t>
  </si>
  <si>
    <t xml:space="preserve">2013 rev.2023</t>
  </si>
  <si>
    <t xml:space="preserve">Idiomas, Comunicación Social</t>
  </si>
  <si>
    <t xml:space="preserve">2024–2026</t>
  </si>
  <si>
    <t xml:space="preserve">Fotografía de productos / stock / editorial</t>
  </si>
  <si>
    <t xml:space="preserve">Frey &amp; Osborne — 'Photographers' P=0.02 (original); revisado a P=0.85+ post Gen-AI visual</t>
  </si>
  <si>
    <t xml:space="preserve">Midjourney/Sora impact; Xataka 2026: China eliminó carrera Fotografía en CUC</t>
  </si>
  <si>
    <t xml:space="preserve">Rev. 2024</t>
  </si>
  <si>
    <t xml:space="preserve">Fotografía, Comunicación</t>
  </si>
  <si>
    <t xml:space="preserve">Programación básica / boilerplate code</t>
  </si>
  <si>
    <t xml:space="preserve">Frey &amp; Osborne — 'Computer Programmers' P=0.48</t>
  </si>
  <si>
    <t xml:space="preserve">McKinsey 2023 — Software Engineering: 25-50% tareas auto. con Copilot / Claude Code</t>
  </si>
  <si>
    <t xml:space="preserve">Ingeniería de Software</t>
  </si>
  <si>
    <t xml:space="preserve">Diagnóstico médico por imagen (apoyo IA)</t>
  </si>
  <si>
    <t xml:space="preserve">ANALÍTICA</t>
  </si>
  <si>
    <t xml:space="preserve">WEF Future of Jobs 2025 — Health professionals: bajo riesgo directo, alto en tareas de apoyo</t>
  </si>
  <si>
    <t xml:space="preserve">McKinsey 2023 — Clinical data analysis: 35-45% de tareas de apoyo automatizables</t>
  </si>
  <si>
    <t xml:space="preserve">2025 / 2023</t>
  </si>
  <si>
    <t xml:space="preserve">Medicina, Imagenología, Radiología</t>
  </si>
  <si>
    <t xml:space="preserve">2030–2040</t>
  </si>
  <si>
    <t xml:space="preserve">https://www3.weforum.org/docs/WEF_Future_of_Jobs_2025.pdf</t>
  </si>
  <si>
    <t xml:space="preserve">Análisis de datos descriptivo / reportes</t>
  </si>
  <si>
    <t xml:space="preserve">Arntz et al. OCDE — analistas nivel medio: riesgo moderado</t>
  </si>
  <si>
    <t xml:space="preserve">McKinsey Gen-AI 2023 — 'Data collection and processing': 64% automatizable</t>
  </si>
  <si>
    <t xml:space="preserve">Estadística, Economía, Admin, Marketing</t>
  </si>
  <si>
    <t xml:space="preserve">2027–2032</t>
  </si>
  <si>
    <t xml:space="preserve">Investigación legal (búsqueda de jurisprudencia)</t>
  </si>
  <si>
    <t xml:space="preserve">Frey &amp; Osborne — 'Law Clerks' P=0.56; Stanford 2025: Harvey ya reemplaza esta tarea</t>
  </si>
  <si>
    <t xml:space="preserve">Stanford HAI 2025 — Harvey/CoCounsel 90% precisión en research legal</t>
  </si>
  <si>
    <t xml:space="preserve">2026–2029</t>
  </si>
  <si>
    <t xml:space="preserve">https://hai.stanford.edu/ai-index-2025</t>
  </si>
  <si>
    <t xml:space="preserve">Auditoría financiera básica / de bajo riesgo</t>
  </si>
  <si>
    <t xml:space="preserve">Frey &amp; Osborne — 'Auditors' P=0.94; OCDE 2019 ajustado por tareas</t>
  </si>
  <si>
    <t xml:space="preserve">McKinsey 2023 — Finance: 72% tareas; KPMG / Deloitte AI audit tools 2024</t>
  </si>
  <si>
    <t xml:space="preserve">2027–2031</t>
  </si>
  <si>
    <t xml:space="preserve">Análisis de riesgo con datos estructurados</t>
  </si>
  <si>
    <t xml:space="preserve">Arntz et al. OCDE — riesgo moderado categoría analistas financieros</t>
  </si>
  <si>
    <t xml:space="preserve">McKinsey 2023 — Risk analysis: 50-65% tareas automatizables con modelos predictivos</t>
  </si>
  <si>
    <t xml:space="preserve">Finanzas, Actuaría, Economía</t>
  </si>
  <si>
    <t xml:space="preserve">2028–2033</t>
  </si>
  <si>
    <t xml:space="preserve">Planificación estratégica empresarial</t>
  </si>
  <si>
    <t xml:space="preserve">COGNITIVA</t>
  </si>
  <si>
    <t xml:space="preserve">Frey &amp; Osborne — 'Top Executives' P=0.03 (muy bajo); requiere juicio situacional</t>
  </si>
  <si>
    <t xml:space="preserve">McKinsey 2023 — Management/Strategy: 15-20% de tareas de apoyo automatizables</t>
  </si>
  <si>
    <t xml:space="preserve">SÍ — baja</t>
  </si>
  <si>
    <t xml:space="preserve">MBA, Admin Estratégica, Economía</t>
  </si>
  <si>
    <t xml:space="preserve">2035–2050+</t>
  </si>
  <si>
    <t xml:space="preserve">https://www.mckinsey.com/capabilities/people-and-organizational-performance/our-insights/the-organization-blog/generative-ai-and-the-future-of-work</t>
  </si>
  <si>
    <t xml:space="preserve">Docencia y tutoría personalizada</t>
  </si>
  <si>
    <t xml:space="preserve">Frey &amp; Osborne — 'Secondary School Teachers' P=0.008; OCDE 2024: 10% tareas auto.</t>
  </si>
  <si>
    <t xml:space="preserve">OCDE Education at a Glance 2024 — IA como apoyo, no reemplazo; empatía y adaptación</t>
  </si>
  <si>
    <t xml:space="preserve">Educación Básica, Educación Inicial</t>
  </si>
  <si>
    <t xml:space="preserve">2040–2060</t>
  </si>
  <si>
    <t xml:space="preserve">https://www.oecd.org/education/education-at-a-glance/</t>
  </si>
  <si>
    <t xml:space="preserve">Cuidado y atención a personas (presencial)</t>
  </si>
  <si>
    <t xml:space="preserve">Frey &amp; Osborne — 'Nursing Aides' P=0.002; alta interacción física y emocional</t>
  </si>
  <si>
    <t xml:space="preserve">WEF Future of Jobs 2025 — Caring professions: entre los más resistentes a automatización</t>
  </si>
  <si>
    <t xml:space="preserve">Enfermería, Trabajo Social, Geriatría</t>
  </si>
  <si>
    <t xml:space="preserve">2045–2070</t>
  </si>
  <si>
    <t xml:space="preserve">Psicoterapia y consejería psicológica</t>
  </si>
  <si>
    <t xml:space="preserve">Frey &amp; Osborne — 'Mental Health Counselors' P=0.003</t>
  </si>
  <si>
    <t xml:space="preserve">WEF 2025 — salud mental creciente como necesidad humana; IA solo como apoyo</t>
  </si>
  <si>
    <t xml:space="preserve">Psicología Clínica, Trabajo Social</t>
  </si>
  <si>
    <t xml:space="preserve">Liderazgo y gestión de equipos</t>
  </si>
  <si>
    <t xml:space="preserve">Frey &amp; Osborne — 'Managers' P=0.02; juicio social y político no automatizable</t>
  </si>
  <si>
    <t xml:space="preserve">Jamie Dimon / JPMorgan Annual Letter 2025 — liderazgo humano esencial en IA era</t>
  </si>
  <si>
    <t xml:space="preserve">No directamente</t>
  </si>
  <si>
    <t xml:space="preserve">Admin avanzada, MBA, liderazgo ejecutivo</t>
  </si>
  <si>
    <t xml:space="preserve">2045–2060</t>
  </si>
  <si>
    <t xml:space="preserve">https://www.jpmorganchase.com/content/dam/jpmorgan/documents/annualreport/2025-ceo-letter-to-shareholders.pdf</t>
  </si>
  <si>
    <t xml:space="preserve">Ingeniería estructural compleja</t>
  </si>
  <si>
    <t xml:space="preserve">Frey &amp; Osborne — 'Civil Engineers' P=0.02; bajo riesgo por creatividad y campo</t>
  </si>
  <si>
    <t xml:space="preserve">McKinsey 2023 — Engineering technical tasks: 18-25% con herramientas CAD-AI</t>
  </si>
  <si>
    <t xml:space="preserve">Ingeniería Civil, Ing. Estructural</t>
  </si>
  <si>
    <t xml:space="preserve">2035–2050</t>
  </si>
  <si>
    <t xml:space="preserve">Investigación científica y experimental</t>
  </si>
  <si>
    <t xml:space="preserve">Frey &amp; Osborne — Scientists P=0.02 a 0.06; OCDE: investigación es actividad más resistente</t>
  </si>
  <si>
    <t xml:space="preserve">McKinsey 2023 — R&amp;D: 10-15% de tareas de apoyo (búsqueda, redacción de revisión)</t>
  </si>
  <si>
    <t xml:space="preserve">Medicina, Bioquímica, Ingeniería, STEM</t>
  </si>
  <si>
    <t xml:space="preserve">Diseño de sistemas de IA / Machine Learning</t>
  </si>
  <si>
    <t xml:space="preserve">COGNITIVA-CREATIVA</t>
  </si>
  <si>
    <t xml:space="preserve">No clasificado en Frey &amp; Osborne 2013 (carrera no existía); WEF 2025: TOP skill del futuro</t>
  </si>
  <si>
    <t xml:space="preserve">WEF Future of Jobs 2025 — AI/ML specialists: demanda +40% 2025-2030</t>
  </si>
  <si>
    <t xml:space="preserve">2025</t>
  </si>
  <si>
    <t xml:space="preserve">No — carrera nueva</t>
  </si>
  <si>
    <t xml:space="preserve">Ciencia de Datos, Ing. IA</t>
  </si>
  <si>
    <t xml:space="preserve">Sin riesgo en horizonte 2040</t>
  </si>
  <si>
    <t xml:space="preserve">Ciberseguridad ofensiva y defensiva</t>
  </si>
  <si>
    <t xml:space="preserve">Frey &amp; Osborne — 'Information Security Analysts' P=0.03; requiere creatividad adversarial</t>
  </si>
  <si>
    <t xml:space="preserve">WEF 2025 — Ciberseguridad: en top 5 roles de mayor crecimiento 2025-2030</t>
  </si>
  <si>
    <t xml:space="preserve">Ciberseguridad, Ing. en Redes</t>
  </si>
  <si>
    <t xml:space="preserve">Trabajo de construcción presencial en campo</t>
  </si>
  <si>
    <t xml:space="preserve">MANUAL-FÍSICA</t>
  </si>
  <si>
    <t xml:space="preserve">Frey &amp; Osborne — 'Construction Laborers' P=0.88; pero robots de construcción aún costosos</t>
  </si>
  <si>
    <t xml:space="preserve">McKinsey 2030 — robots en construcción: posible pero económicamente limitado hasta 2035</t>
  </si>
  <si>
    <t xml:space="preserve">Ing. Civil (componente campo)</t>
  </si>
  <si>
    <t xml:space="preserve">2035–2050 (robótica avanzada)</t>
  </si>
  <si>
    <t xml:space="preserve">Oficios técnicos especializados (electricidad, mecánica)</t>
  </si>
  <si>
    <t xml:space="preserve">Frey &amp; Osborne — 'Electricians' P=0.02; alta variabilidad de entorno = baja automatización</t>
  </si>
  <si>
    <t xml:space="preserve">WEF 2025 — Skilled trades: resistentes al reemplazo; McKinsey: 15-20% tareas repetitivas</t>
  </si>
  <si>
    <t xml:space="preserve">Institutos técnicos</t>
  </si>
  <si>
    <t xml:space="preserve">Mecánica industrial, Electricidad, Plomería</t>
  </si>
  <si>
    <t xml:space="preserve">2038–2055 (robótica física)</t>
  </si>
  <si>
    <t xml:space="preserve">LEYENDA DE COLORES:</t>
  </si>
  <si>
    <t xml:space="preserve">NOTA: Oxford/Frey-Osborne usa P(automatización) por OCUPACIÓN completa. McKinsey Gen-AI mide % de TAREAS dentro de una ocupación. Por eso McKinsey siempre da valores más altos — no son comparables directamente. Para este estudio se usa McKinsey como base de análisis de mallas curriculares (nivel tarea) y Oxford como validación de riesgo ocupacional. El rezago para Ecuador se estima en 3-5 años respecto a EEUU/Europa.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</si>
</sst>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7D4E00"/>
      <name val="Arial"/>
      <family val="0"/>
      <charset val="1"/>
    </font>
    <font>
      <b val="true"/>
      <sz val="9"/>
      <color rgb="FF155724"/>
      <name val="Arial"/>
      <family val="0"/>
      <charset val="1"/>
    </font>
    <font>
      <b val="true"/>
      <sz val="9"/>
      <color rgb="FF1A4731"/>
      <name val="Arial"/>
      <family val="0"/>
      <charset val="1"/>
    </font>
    <font>
      <b val="true"/>
      <sz val="9"/>
      <color rgb="FF1A3A5C"/>
      <name val="Arial"/>
      <family val="0"/>
      <charset val="1"/>
    </font>
    <font>
      <b val="true"/>
      <sz val="9"/>
      <color rgb="FF4A235A"/>
      <name val="Arial"/>
      <family val="0"/>
      <charset val="1"/>
    </font>
    <font>
      <b val="true"/>
      <sz val="9"/>
      <color rgb="FF7B241C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55555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A3A5C"/>
      </patternFill>
    </fill>
    <fill>
      <patternFill patternType="solid">
        <fgColor rgb="FFEEF2F7"/>
        <bgColor rgb="FFDAE8FC"/>
      </patternFill>
    </fill>
    <fill>
      <patternFill patternType="solid">
        <fgColor rgb="FFFFF2CC"/>
        <bgColor rgb="FFFFF3CD"/>
      </patternFill>
    </fill>
    <fill>
      <patternFill patternType="solid">
        <fgColor rgb="FFFFF3CD"/>
        <bgColor rgb="FFFFF2CC"/>
      </patternFill>
    </fill>
    <fill>
      <patternFill patternType="solid">
        <fgColor rgb="FFD4EDDA"/>
        <bgColor rgb="FFD5E8D4"/>
      </patternFill>
    </fill>
    <fill>
      <patternFill patternType="solid">
        <fgColor rgb="FFFFFFFF"/>
        <bgColor rgb="FFEEF2F7"/>
      </patternFill>
    </fill>
    <fill>
      <patternFill patternType="solid">
        <fgColor rgb="FFD5E8D4"/>
        <bgColor rgb="FFD4EDDA"/>
      </patternFill>
    </fill>
    <fill>
      <patternFill patternType="solid">
        <fgColor rgb="FFDAE8FC"/>
        <bgColor rgb="FFD4EDDA"/>
      </patternFill>
    </fill>
    <fill>
      <patternFill patternType="solid">
        <fgColor rgb="FFE1D5E7"/>
        <bgColor rgb="FFF8CECC"/>
      </patternFill>
    </fill>
    <fill>
      <patternFill patternType="solid">
        <fgColor rgb="FFF8CECC"/>
        <bgColor rgb="FFE1D5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4E00"/>
      <rgbColor rgb="FF800080"/>
      <rgbColor rgb="FF008080"/>
      <rgbColor rgb="FFBBBBBB"/>
      <rgbColor rgb="FF808080"/>
      <rgbColor rgb="FF9999FF"/>
      <rgbColor rgb="FF993366"/>
      <rgbColor rgb="FFFFF3CD"/>
      <rgbColor rgb="FFDAE8FC"/>
      <rgbColor rgb="FF660066"/>
      <rgbColor rgb="FFFF8080"/>
      <rgbColor rgb="FF0066CC"/>
      <rgbColor rgb="FFE1D5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D4EDDA"/>
      <rgbColor rgb="FFFFF2CC"/>
      <rgbColor rgb="FFD5E8D4"/>
      <rgbColor rgb="FFFF99CC"/>
      <rgbColor rgb="FFCC99FF"/>
      <rgbColor rgb="FFF8CE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A5C"/>
      <rgbColor rgb="FF339966"/>
      <rgbColor rgb="FF155724"/>
      <rgbColor rgb="FF1A4731"/>
      <rgbColor rgb="FF7B241C"/>
      <rgbColor rgb="FF993366"/>
      <rgbColor rgb="FF4A235A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8" min="7" style="0" width="40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35"/>
    <col collapsed="false" customWidth="true" hidden="false" outlineLevel="0" max="12" min="12" style="0" width="18"/>
    <col collapsed="false" customWidth="true" hidden="false" outlineLevel="0" max="13" min="13" style="0" width="55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39.75" hidden="false" customHeight="true" outlineLevel="0" collapsed="false">
      <c r="A2" s="2" t="n">
        <v>1</v>
      </c>
      <c r="B2" s="3" t="s">
        <v>13</v>
      </c>
      <c r="C2" s="4" t="s">
        <v>14</v>
      </c>
      <c r="D2" s="5" t="n">
        <v>85</v>
      </c>
      <c r="E2" s="6" t="n">
        <v>90</v>
      </c>
      <c r="F2" s="2" t="n">
        <f aca="false">E2-D2</f>
        <v>5</v>
      </c>
      <c r="G2" s="3" t="s">
        <v>15</v>
      </c>
      <c r="H2" s="3" t="s">
        <v>16</v>
      </c>
      <c r="I2" s="2" t="s">
        <v>17</v>
      </c>
      <c r="J2" s="2" t="s">
        <v>18</v>
      </c>
      <c r="K2" s="3" t="s">
        <v>19</v>
      </c>
      <c r="L2" s="3" t="s">
        <v>20</v>
      </c>
      <c r="M2" s="3" t="s">
        <v>21</v>
      </c>
    </row>
    <row r="3" customFormat="false" ht="39.75" hidden="false" customHeight="true" outlineLevel="0" collapsed="false">
      <c r="A3" s="7" t="n">
        <v>2</v>
      </c>
      <c r="B3" s="8" t="s">
        <v>22</v>
      </c>
      <c r="C3" s="4" t="s">
        <v>14</v>
      </c>
      <c r="D3" s="5" t="n">
        <v>80</v>
      </c>
      <c r="E3" s="6" t="n">
        <v>88</v>
      </c>
      <c r="F3" s="7" t="n">
        <f aca="false">E3-D3</f>
        <v>8</v>
      </c>
      <c r="G3" s="8" t="s">
        <v>23</v>
      </c>
      <c r="H3" s="8" t="s">
        <v>24</v>
      </c>
      <c r="I3" s="7" t="s">
        <v>17</v>
      </c>
      <c r="J3" s="7" t="s">
        <v>25</v>
      </c>
      <c r="K3" s="8" t="s">
        <v>26</v>
      </c>
      <c r="L3" s="8" t="s">
        <v>27</v>
      </c>
      <c r="M3" s="8" t="s">
        <v>28</v>
      </c>
    </row>
    <row r="4" customFormat="false" ht="39.75" hidden="false" customHeight="true" outlineLevel="0" collapsed="false">
      <c r="A4" s="2" t="n">
        <v>3</v>
      </c>
      <c r="B4" s="3" t="s">
        <v>29</v>
      </c>
      <c r="C4" s="4" t="s">
        <v>14</v>
      </c>
      <c r="D4" s="5" t="n">
        <v>75</v>
      </c>
      <c r="E4" s="6" t="n">
        <v>85</v>
      </c>
      <c r="F4" s="2" t="n">
        <f aca="false">E4-D4</f>
        <v>10</v>
      </c>
      <c r="G4" s="3" t="s">
        <v>30</v>
      </c>
      <c r="H4" s="3" t="s">
        <v>31</v>
      </c>
      <c r="I4" s="2" t="s">
        <v>17</v>
      </c>
      <c r="J4" s="2" t="s">
        <v>32</v>
      </c>
      <c r="K4" s="3" t="s">
        <v>33</v>
      </c>
      <c r="L4" s="3" t="s">
        <v>27</v>
      </c>
      <c r="M4" s="3" t="s">
        <v>34</v>
      </c>
    </row>
    <row r="5" customFormat="false" ht="39.75" hidden="false" customHeight="true" outlineLevel="0" collapsed="false">
      <c r="A5" s="7" t="n">
        <v>4</v>
      </c>
      <c r="B5" s="8" t="s">
        <v>35</v>
      </c>
      <c r="C5" s="4" t="s">
        <v>14</v>
      </c>
      <c r="D5" s="5" t="n">
        <v>65</v>
      </c>
      <c r="E5" s="6" t="n">
        <v>82</v>
      </c>
      <c r="F5" s="7" t="n">
        <f aca="false">E5-D5</f>
        <v>17</v>
      </c>
      <c r="G5" s="8" t="s">
        <v>36</v>
      </c>
      <c r="H5" s="8" t="s">
        <v>37</v>
      </c>
      <c r="I5" s="7" t="s">
        <v>38</v>
      </c>
      <c r="J5" s="7" t="s">
        <v>25</v>
      </c>
      <c r="K5" s="8" t="s">
        <v>39</v>
      </c>
      <c r="L5" s="8" t="s">
        <v>40</v>
      </c>
      <c r="M5" s="8" t="s">
        <v>41</v>
      </c>
    </row>
    <row r="6" customFormat="false" ht="39.75" hidden="false" customHeight="true" outlineLevel="0" collapsed="false">
      <c r="A6" s="2" t="n">
        <v>5</v>
      </c>
      <c r="B6" s="3" t="s">
        <v>42</v>
      </c>
      <c r="C6" s="4" t="s">
        <v>14</v>
      </c>
      <c r="D6" s="5" t="n">
        <v>72</v>
      </c>
      <c r="E6" s="6" t="n">
        <v>87</v>
      </c>
      <c r="F6" s="2" t="n">
        <f aca="false">E6-D6</f>
        <v>15</v>
      </c>
      <c r="G6" s="3" t="s">
        <v>43</v>
      </c>
      <c r="H6" s="3" t="s">
        <v>44</v>
      </c>
      <c r="I6" s="2" t="s">
        <v>17</v>
      </c>
      <c r="J6" s="2" t="s">
        <v>18</v>
      </c>
      <c r="K6" s="3" t="s">
        <v>45</v>
      </c>
      <c r="L6" s="3" t="s">
        <v>27</v>
      </c>
      <c r="M6" s="3" t="s">
        <v>28</v>
      </c>
    </row>
    <row r="7" customFormat="false" ht="39.75" hidden="false" customHeight="true" outlineLevel="0" collapsed="false">
      <c r="A7" s="7" t="n">
        <v>6</v>
      </c>
      <c r="B7" s="8" t="s">
        <v>46</v>
      </c>
      <c r="C7" s="4" t="s">
        <v>14</v>
      </c>
      <c r="D7" s="5" t="n">
        <v>60</v>
      </c>
      <c r="E7" s="6" t="n">
        <v>75</v>
      </c>
      <c r="F7" s="7" t="n">
        <f aca="false">E7-D7</f>
        <v>15</v>
      </c>
      <c r="G7" s="8" t="s">
        <v>47</v>
      </c>
      <c r="H7" s="8" t="s">
        <v>48</v>
      </c>
      <c r="I7" s="7" t="s">
        <v>49</v>
      </c>
      <c r="J7" s="7" t="s">
        <v>25</v>
      </c>
      <c r="K7" s="8" t="s">
        <v>50</v>
      </c>
      <c r="L7" s="8" t="s">
        <v>51</v>
      </c>
      <c r="M7" s="8" t="s">
        <v>52</v>
      </c>
    </row>
    <row r="8" customFormat="false" ht="39.75" hidden="false" customHeight="true" outlineLevel="0" collapsed="false">
      <c r="A8" s="2" t="n">
        <v>7</v>
      </c>
      <c r="B8" s="3" t="s">
        <v>53</v>
      </c>
      <c r="C8" s="4" t="s">
        <v>14</v>
      </c>
      <c r="D8" s="5" t="n">
        <v>70</v>
      </c>
      <c r="E8" s="6" t="n">
        <v>82</v>
      </c>
      <c r="F8" s="2" t="n">
        <f aca="false">E8-D8</f>
        <v>12</v>
      </c>
      <c r="G8" s="3" t="s">
        <v>54</v>
      </c>
      <c r="H8" s="3" t="s">
        <v>55</v>
      </c>
      <c r="I8" s="2" t="s">
        <v>56</v>
      </c>
      <c r="J8" s="2" t="s">
        <v>25</v>
      </c>
      <c r="K8" s="3" t="s">
        <v>57</v>
      </c>
      <c r="L8" s="3" t="s">
        <v>27</v>
      </c>
      <c r="M8" s="3" t="s">
        <v>58</v>
      </c>
    </row>
    <row r="9" customFormat="false" ht="39.75" hidden="false" customHeight="true" outlineLevel="0" collapsed="false">
      <c r="A9" s="7" t="n">
        <v>8</v>
      </c>
      <c r="B9" s="8" t="s">
        <v>59</v>
      </c>
      <c r="C9" s="4" t="s">
        <v>14</v>
      </c>
      <c r="D9" s="5" t="n">
        <v>75</v>
      </c>
      <c r="E9" s="6" t="n">
        <v>88</v>
      </c>
      <c r="F9" s="7" t="n">
        <f aca="false">E9-D9</f>
        <v>13</v>
      </c>
      <c r="G9" s="8" t="s">
        <v>60</v>
      </c>
      <c r="H9" s="8" t="s">
        <v>61</v>
      </c>
      <c r="I9" s="7" t="s">
        <v>62</v>
      </c>
      <c r="J9" s="7" t="s">
        <v>32</v>
      </c>
      <c r="K9" s="8" t="s">
        <v>63</v>
      </c>
      <c r="L9" s="8" t="s">
        <v>64</v>
      </c>
      <c r="M9" s="8" t="s">
        <v>34</v>
      </c>
    </row>
    <row r="10" customFormat="false" ht="39.75" hidden="false" customHeight="true" outlineLevel="0" collapsed="false">
      <c r="A10" s="2" t="n">
        <v>9</v>
      </c>
      <c r="B10" s="3" t="s">
        <v>65</v>
      </c>
      <c r="C10" s="4" t="s">
        <v>14</v>
      </c>
      <c r="D10" s="5" t="n">
        <v>80</v>
      </c>
      <c r="E10" s="6" t="n">
        <v>90</v>
      </c>
      <c r="F10" s="2" t="n">
        <f aca="false">E10-D10</f>
        <v>10</v>
      </c>
      <c r="G10" s="3" t="s">
        <v>66</v>
      </c>
      <c r="H10" s="3" t="s">
        <v>67</v>
      </c>
      <c r="I10" s="2" t="s">
        <v>68</v>
      </c>
      <c r="J10" s="2" t="s">
        <v>25</v>
      </c>
      <c r="K10" s="3" t="s">
        <v>69</v>
      </c>
      <c r="L10" s="3" t="s">
        <v>64</v>
      </c>
      <c r="M10" s="3" t="s">
        <v>58</v>
      </c>
    </row>
    <row r="11" customFormat="false" ht="39.75" hidden="false" customHeight="true" outlineLevel="0" collapsed="false">
      <c r="A11" s="7" t="n">
        <v>10</v>
      </c>
      <c r="B11" s="8" t="s">
        <v>70</v>
      </c>
      <c r="C11" s="4" t="s">
        <v>14</v>
      </c>
      <c r="D11" s="5" t="n">
        <v>50</v>
      </c>
      <c r="E11" s="6" t="n">
        <v>65</v>
      </c>
      <c r="F11" s="7" t="n">
        <f aca="false">E11-D11</f>
        <v>15</v>
      </c>
      <c r="G11" s="8" t="s">
        <v>71</v>
      </c>
      <c r="H11" s="8" t="s">
        <v>72</v>
      </c>
      <c r="I11" s="7" t="s">
        <v>17</v>
      </c>
      <c r="J11" s="7" t="s">
        <v>32</v>
      </c>
      <c r="K11" s="8" t="s">
        <v>73</v>
      </c>
      <c r="L11" s="8" t="s">
        <v>51</v>
      </c>
      <c r="M11" s="8" t="s">
        <v>34</v>
      </c>
    </row>
    <row r="12" customFormat="false" ht="39.75" hidden="false" customHeight="true" outlineLevel="0" collapsed="false">
      <c r="A12" s="2" t="n">
        <v>11</v>
      </c>
      <c r="B12" s="3" t="s">
        <v>74</v>
      </c>
      <c r="C12" s="9" t="s">
        <v>75</v>
      </c>
      <c r="D12" s="5" t="n">
        <v>35</v>
      </c>
      <c r="E12" s="6" t="n">
        <v>45</v>
      </c>
      <c r="F12" s="2" t="n">
        <f aca="false">E12-D12</f>
        <v>10</v>
      </c>
      <c r="G12" s="3" t="s">
        <v>76</v>
      </c>
      <c r="H12" s="3" t="s">
        <v>77</v>
      </c>
      <c r="I12" s="2" t="s">
        <v>78</v>
      </c>
      <c r="J12" s="2" t="s">
        <v>32</v>
      </c>
      <c r="K12" s="3" t="s">
        <v>79</v>
      </c>
      <c r="L12" s="3" t="s">
        <v>80</v>
      </c>
      <c r="M12" s="3" t="s">
        <v>81</v>
      </c>
    </row>
    <row r="13" customFormat="false" ht="39.75" hidden="false" customHeight="true" outlineLevel="0" collapsed="false">
      <c r="A13" s="7" t="n">
        <v>12</v>
      </c>
      <c r="B13" s="8" t="s">
        <v>82</v>
      </c>
      <c r="C13" s="9" t="s">
        <v>75</v>
      </c>
      <c r="D13" s="5" t="n">
        <v>55</v>
      </c>
      <c r="E13" s="6" t="n">
        <v>70</v>
      </c>
      <c r="F13" s="7" t="n">
        <f aca="false">E13-D13</f>
        <v>15</v>
      </c>
      <c r="G13" s="8" t="s">
        <v>83</v>
      </c>
      <c r="H13" s="8" t="s">
        <v>84</v>
      </c>
      <c r="I13" s="7" t="s">
        <v>49</v>
      </c>
      <c r="J13" s="7" t="s">
        <v>32</v>
      </c>
      <c r="K13" s="8" t="s">
        <v>85</v>
      </c>
      <c r="L13" s="8" t="s">
        <v>86</v>
      </c>
      <c r="M13" s="8" t="s">
        <v>52</v>
      </c>
    </row>
    <row r="14" customFormat="false" ht="39.75" hidden="false" customHeight="true" outlineLevel="0" collapsed="false">
      <c r="A14" s="2" t="n">
        <v>13</v>
      </c>
      <c r="B14" s="3" t="s">
        <v>87</v>
      </c>
      <c r="C14" s="9" t="s">
        <v>75</v>
      </c>
      <c r="D14" s="5" t="n">
        <v>60</v>
      </c>
      <c r="E14" s="6" t="n">
        <v>78</v>
      </c>
      <c r="F14" s="2" t="n">
        <f aca="false">E14-D14</f>
        <v>18</v>
      </c>
      <c r="G14" s="3" t="s">
        <v>88</v>
      </c>
      <c r="H14" s="3" t="s">
        <v>89</v>
      </c>
      <c r="I14" s="2" t="s">
        <v>38</v>
      </c>
      <c r="J14" s="2" t="s">
        <v>25</v>
      </c>
      <c r="K14" s="3" t="s">
        <v>39</v>
      </c>
      <c r="L14" s="3" t="s">
        <v>90</v>
      </c>
      <c r="M14" s="3" t="s">
        <v>91</v>
      </c>
    </row>
    <row r="15" customFormat="false" ht="39.75" hidden="false" customHeight="true" outlineLevel="0" collapsed="false">
      <c r="A15" s="7" t="n">
        <v>14</v>
      </c>
      <c r="B15" s="8" t="s">
        <v>92</v>
      </c>
      <c r="C15" s="9" t="s">
        <v>75</v>
      </c>
      <c r="D15" s="5" t="n">
        <v>55</v>
      </c>
      <c r="E15" s="6" t="n">
        <v>72</v>
      </c>
      <c r="F15" s="7" t="n">
        <f aca="false">E15-D15</f>
        <v>17</v>
      </c>
      <c r="G15" s="8" t="s">
        <v>93</v>
      </c>
      <c r="H15" s="8" t="s">
        <v>94</v>
      </c>
      <c r="I15" s="7" t="s">
        <v>17</v>
      </c>
      <c r="J15" s="7" t="s">
        <v>25</v>
      </c>
      <c r="K15" s="8" t="s">
        <v>45</v>
      </c>
      <c r="L15" s="8" t="s">
        <v>95</v>
      </c>
      <c r="M15" s="8" t="s">
        <v>28</v>
      </c>
    </row>
    <row r="16" customFormat="false" ht="39.75" hidden="false" customHeight="true" outlineLevel="0" collapsed="false">
      <c r="A16" s="2" t="n">
        <v>15</v>
      </c>
      <c r="B16" s="3" t="s">
        <v>96</v>
      </c>
      <c r="C16" s="9" t="s">
        <v>75</v>
      </c>
      <c r="D16" s="5" t="n">
        <v>50</v>
      </c>
      <c r="E16" s="6" t="n">
        <v>65</v>
      </c>
      <c r="F16" s="2" t="n">
        <f aca="false">E16-D16</f>
        <v>15</v>
      </c>
      <c r="G16" s="3" t="s">
        <v>97</v>
      </c>
      <c r="H16" s="3" t="s">
        <v>98</v>
      </c>
      <c r="I16" s="2" t="s">
        <v>49</v>
      </c>
      <c r="J16" s="2" t="s">
        <v>32</v>
      </c>
      <c r="K16" s="3" t="s">
        <v>99</v>
      </c>
      <c r="L16" s="3" t="s">
        <v>100</v>
      </c>
      <c r="M16" s="3" t="s">
        <v>34</v>
      </c>
    </row>
    <row r="17" customFormat="false" ht="39.75" hidden="false" customHeight="true" outlineLevel="0" collapsed="false">
      <c r="A17" s="7" t="n">
        <v>16</v>
      </c>
      <c r="B17" s="8" t="s">
        <v>101</v>
      </c>
      <c r="C17" s="10" t="s">
        <v>102</v>
      </c>
      <c r="D17" s="5" t="n">
        <v>15</v>
      </c>
      <c r="E17" s="6" t="n">
        <v>20</v>
      </c>
      <c r="F17" s="7" t="n">
        <f aca="false">E17-D17</f>
        <v>5</v>
      </c>
      <c r="G17" s="8" t="s">
        <v>103</v>
      </c>
      <c r="H17" s="8" t="s">
        <v>104</v>
      </c>
      <c r="I17" s="7" t="s">
        <v>17</v>
      </c>
      <c r="J17" s="7" t="s">
        <v>105</v>
      </c>
      <c r="K17" s="8" t="s">
        <v>106</v>
      </c>
      <c r="L17" s="8" t="s">
        <v>107</v>
      </c>
      <c r="M17" s="8" t="s">
        <v>108</v>
      </c>
    </row>
    <row r="18" customFormat="false" ht="39.75" hidden="false" customHeight="true" outlineLevel="0" collapsed="false">
      <c r="A18" s="2" t="n">
        <v>17</v>
      </c>
      <c r="B18" s="3" t="s">
        <v>109</v>
      </c>
      <c r="C18" s="10" t="s">
        <v>102</v>
      </c>
      <c r="D18" s="5" t="n">
        <v>10</v>
      </c>
      <c r="E18" s="6" t="n">
        <v>12</v>
      </c>
      <c r="F18" s="2" t="n">
        <f aca="false">E18-D18</f>
        <v>2</v>
      </c>
      <c r="G18" s="3" t="s">
        <v>110</v>
      </c>
      <c r="H18" s="3" t="s">
        <v>111</v>
      </c>
      <c r="I18" s="2" t="s">
        <v>56</v>
      </c>
      <c r="J18" s="2" t="s">
        <v>32</v>
      </c>
      <c r="K18" s="3" t="s">
        <v>112</v>
      </c>
      <c r="L18" s="3" t="s">
        <v>113</v>
      </c>
      <c r="M18" s="3" t="s">
        <v>114</v>
      </c>
    </row>
    <row r="19" customFormat="false" ht="39.75" hidden="false" customHeight="true" outlineLevel="0" collapsed="false">
      <c r="A19" s="7" t="n">
        <v>18</v>
      </c>
      <c r="B19" s="8" t="s">
        <v>115</v>
      </c>
      <c r="C19" s="10" t="s">
        <v>102</v>
      </c>
      <c r="D19" s="5" t="n">
        <v>8</v>
      </c>
      <c r="E19" s="6" t="n">
        <v>10</v>
      </c>
      <c r="F19" s="7" t="n">
        <f aca="false">E19-D19</f>
        <v>2</v>
      </c>
      <c r="G19" s="8" t="s">
        <v>116</v>
      </c>
      <c r="H19" s="8" t="s">
        <v>117</v>
      </c>
      <c r="I19" s="7" t="s">
        <v>38</v>
      </c>
      <c r="J19" s="7" t="s">
        <v>105</v>
      </c>
      <c r="K19" s="8" t="s">
        <v>118</v>
      </c>
      <c r="L19" s="8" t="s">
        <v>119</v>
      </c>
      <c r="M19" s="8" t="s">
        <v>81</v>
      </c>
    </row>
    <row r="20" customFormat="false" ht="39.75" hidden="false" customHeight="true" outlineLevel="0" collapsed="false">
      <c r="A20" s="2" t="n">
        <v>19</v>
      </c>
      <c r="B20" s="3" t="s">
        <v>120</v>
      </c>
      <c r="C20" s="10" t="s">
        <v>102</v>
      </c>
      <c r="D20" s="5" t="n">
        <v>12</v>
      </c>
      <c r="E20" s="6" t="n">
        <v>15</v>
      </c>
      <c r="F20" s="2" t="n">
        <f aca="false">E20-D20</f>
        <v>3</v>
      </c>
      <c r="G20" s="3" t="s">
        <v>121</v>
      </c>
      <c r="H20" s="3" t="s">
        <v>122</v>
      </c>
      <c r="I20" s="2" t="s">
        <v>38</v>
      </c>
      <c r="J20" s="2" t="s">
        <v>105</v>
      </c>
      <c r="K20" s="3" t="s">
        <v>123</v>
      </c>
      <c r="L20" s="3" t="s">
        <v>113</v>
      </c>
      <c r="M20" s="3" t="s">
        <v>81</v>
      </c>
    </row>
    <row r="21" customFormat="false" ht="39.75" hidden="false" customHeight="true" outlineLevel="0" collapsed="false">
      <c r="A21" s="7" t="n">
        <v>20</v>
      </c>
      <c r="B21" s="8" t="s">
        <v>124</v>
      </c>
      <c r="C21" s="10" t="s">
        <v>102</v>
      </c>
      <c r="D21" s="5" t="n">
        <v>5</v>
      </c>
      <c r="E21" s="6" t="n">
        <v>8</v>
      </c>
      <c r="F21" s="7" t="n">
        <f aca="false">E21-D21</f>
        <v>3</v>
      </c>
      <c r="G21" s="8" t="s">
        <v>125</v>
      </c>
      <c r="H21" s="8" t="s">
        <v>126</v>
      </c>
      <c r="I21" s="7" t="s">
        <v>38</v>
      </c>
      <c r="J21" s="7" t="s">
        <v>127</v>
      </c>
      <c r="K21" s="8" t="s">
        <v>128</v>
      </c>
      <c r="L21" s="8" t="s">
        <v>129</v>
      </c>
      <c r="M21" s="8" t="s">
        <v>130</v>
      </c>
    </row>
    <row r="22" customFormat="false" ht="39.75" hidden="false" customHeight="true" outlineLevel="0" collapsed="false">
      <c r="A22" s="2" t="n">
        <v>21</v>
      </c>
      <c r="B22" s="3" t="s">
        <v>131</v>
      </c>
      <c r="C22" s="10" t="s">
        <v>102</v>
      </c>
      <c r="D22" s="5" t="n">
        <v>18</v>
      </c>
      <c r="E22" s="6" t="n">
        <v>25</v>
      </c>
      <c r="F22" s="2" t="n">
        <f aca="false">E22-D22</f>
        <v>7</v>
      </c>
      <c r="G22" s="3" t="s">
        <v>132</v>
      </c>
      <c r="H22" s="3" t="s">
        <v>133</v>
      </c>
      <c r="I22" s="2" t="s">
        <v>17</v>
      </c>
      <c r="J22" s="2" t="s">
        <v>105</v>
      </c>
      <c r="K22" s="3" t="s">
        <v>134</v>
      </c>
      <c r="L22" s="3" t="s">
        <v>135</v>
      </c>
      <c r="M22" s="3" t="s">
        <v>28</v>
      </c>
    </row>
    <row r="23" customFormat="false" ht="39.75" hidden="false" customHeight="true" outlineLevel="0" collapsed="false">
      <c r="A23" s="7" t="n">
        <v>22</v>
      </c>
      <c r="B23" s="8" t="s">
        <v>136</v>
      </c>
      <c r="C23" s="10" t="s">
        <v>102</v>
      </c>
      <c r="D23" s="5" t="n">
        <v>10</v>
      </c>
      <c r="E23" s="6" t="n">
        <v>15</v>
      </c>
      <c r="F23" s="7" t="n">
        <f aca="false">E23-D23</f>
        <v>5</v>
      </c>
      <c r="G23" s="8" t="s">
        <v>137</v>
      </c>
      <c r="H23" s="8" t="s">
        <v>138</v>
      </c>
      <c r="I23" s="7" t="s">
        <v>17</v>
      </c>
      <c r="J23" s="7" t="s">
        <v>105</v>
      </c>
      <c r="K23" s="8" t="s">
        <v>139</v>
      </c>
      <c r="L23" s="8" t="s">
        <v>113</v>
      </c>
      <c r="M23" s="8" t="s">
        <v>52</v>
      </c>
    </row>
    <row r="24" customFormat="false" ht="39.75" hidden="false" customHeight="true" outlineLevel="0" collapsed="false">
      <c r="A24" s="2" t="n">
        <v>23</v>
      </c>
      <c r="B24" s="3" t="s">
        <v>140</v>
      </c>
      <c r="C24" s="11" t="s">
        <v>141</v>
      </c>
      <c r="D24" s="5" t="n">
        <v>5</v>
      </c>
      <c r="E24" s="6" t="n">
        <v>8</v>
      </c>
      <c r="F24" s="2" t="n">
        <f aca="false">E24-D24</f>
        <v>3</v>
      </c>
      <c r="G24" s="3" t="s">
        <v>142</v>
      </c>
      <c r="H24" s="3" t="s">
        <v>143</v>
      </c>
      <c r="I24" s="2" t="s">
        <v>144</v>
      </c>
      <c r="J24" s="2" t="s">
        <v>145</v>
      </c>
      <c r="K24" s="3" t="s">
        <v>146</v>
      </c>
      <c r="L24" s="3" t="s">
        <v>147</v>
      </c>
      <c r="M24" s="3" t="s">
        <v>81</v>
      </c>
    </row>
    <row r="25" customFormat="false" ht="39.75" hidden="false" customHeight="true" outlineLevel="0" collapsed="false">
      <c r="A25" s="7" t="n">
        <v>24</v>
      </c>
      <c r="B25" s="8" t="s">
        <v>148</v>
      </c>
      <c r="C25" s="11" t="s">
        <v>141</v>
      </c>
      <c r="D25" s="5" t="n">
        <v>6</v>
      </c>
      <c r="E25" s="6" t="n">
        <v>9</v>
      </c>
      <c r="F25" s="7" t="n">
        <f aca="false">E25-D25</f>
        <v>3</v>
      </c>
      <c r="G25" s="8" t="s">
        <v>149</v>
      </c>
      <c r="H25" s="8" t="s">
        <v>150</v>
      </c>
      <c r="I25" s="7" t="s">
        <v>38</v>
      </c>
      <c r="J25" s="7" t="s">
        <v>145</v>
      </c>
      <c r="K25" s="8" t="s">
        <v>151</v>
      </c>
      <c r="L25" s="8" t="s">
        <v>147</v>
      </c>
      <c r="M25" s="8" t="s">
        <v>81</v>
      </c>
    </row>
    <row r="26" customFormat="false" ht="39.75" hidden="false" customHeight="true" outlineLevel="0" collapsed="false">
      <c r="A26" s="2" t="n">
        <v>25</v>
      </c>
      <c r="B26" s="3" t="s">
        <v>152</v>
      </c>
      <c r="C26" s="12" t="s">
        <v>153</v>
      </c>
      <c r="D26" s="5" t="n">
        <v>20</v>
      </c>
      <c r="E26" s="6" t="n">
        <v>22</v>
      </c>
      <c r="F26" s="2" t="n">
        <f aca="false">E26-D26</f>
        <v>2</v>
      </c>
      <c r="G26" s="3" t="s">
        <v>154</v>
      </c>
      <c r="H26" s="3" t="s">
        <v>155</v>
      </c>
      <c r="I26" s="2" t="s">
        <v>17</v>
      </c>
      <c r="J26" s="2" t="s">
        <v>127</v>
      </c>
      <c r="K26" s="3" t="s">
        <v>156</v>
      </c>
      <c r="L26" s="3" t="s">
        <v>157</v>
      </c>
      <c r="M26" s="3" t="s">
        <v>34</v>
      </c>
    </row>
    <row r="27" customFormat="false" ht="39.75" hidden="false" customHeight="true" outlineLevel="0" collapsed="false">
      <c r="A27" s="7" t="n">
        <v>26</v>
      </c>
      <c r="B27" s="8" t="s">
        <v>158</v>
      </c>
      <c r="C27" s="12" t="s">
        <v>153</v>
      </c>
      <c r="D27" s="5" t="n">
        <v>15</v>
      </c>
      <c r="E27" s="6" t="n">
        <v>18</v>
      </c>
      <c r="F27" s="7" t="n">
        <f aca="false">E27-D27</f>
        <v>3</v>
      </c>
      <c r="G27" s="8" t="s">
        <v>159</v>
      </c>
      <c r="H27" s="8" t="s">
        <v>160</v>
      </c>
      <c r="I27" s="7" t="s">
        <v>38</v>
      </c>
      <c r="J27" s="7" t="s">
        <v>161</v>
      </c>
      <c r="K27" s="8" t="s">
        <v>162</v>
      </c>
      <c r="L27" s="8" t="s">
        <v>163</v>
      </c>
      <c r="M27" s="8" t="s">
        <v>81</v>
      </c>
    </row>
    <row r="29" customFormat="false" ht="15" hidden="false" customHeight="false" outlineLevel="0" collapsed="false">
      <c r="A29" s="13" t="s">
        <v>164</v>
      </c>
    </row>
    <row r="30" customFormat="false" ht="15" hidden="false" customHeight="false" outlineLevel="0" collapsed="false">
      <c r="B30" s="14" t="s">
        <v>14</v>
      </c>
    </row>
    <row r="31" customFormat="false" ht="15" hidden="false" customHeight="false" outlineLevel="0" collapsed="false">
      <c r="B31" s="15" t="s">
        <v>75</v>
      </c>
    </row>
    <row r="32" customFormat="false" ht="15" hidden="false" customHeight="false" outlineLevel="0" collapsed="false">
      <c r="B32" s="16" t="s">
        <v>102</v>
      </c>
    </row>
    <row r="33" customFormat="false" ht="15" hidden="false" customHeight="false" outlineLevel="0" collapsed="false">
      <c r="B33" s="17" t="s">
        <v>141</v>
      </c>
    </row>
    <row r="34" customFormat="false" ht="15" hidden="false" customHeight="false" outlineLevel="0" collapsed="false">
      <c r="B34" s="18" t="s">
        <v>153</v>
      </c>
    </row>
    <row r="37" customFormat="false" ht="54.75" hidden="false" customHeight="true" outlineLevel="0" collapsed="false">
      <c r="A37" s="19" t="s">
        <v>165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</row>
  </sheetData>
  <mergeCells count="1">
    <mergeCell ref="A37:M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2026-03-28T00:30:05Z</dcterms:created>
  <dc:creator>openpyxl</dc:creator>
  <dc:description/>
  <dc:language>en-US</dc:language>
  <cp:lastModifiedBy/>
  <dcterms:modified xsi:type="dcterms:W3CDTF">2026-03-28T00:30:05Z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